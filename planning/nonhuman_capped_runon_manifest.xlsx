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b7f1d3fef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bf59bc479f469d"/>
    <x:sheet xmlns:r="http://schemas.openxmlformats.org/officeDocument/2006/relationships" name="Projects" sheetId="2" r:id="R73f6913977884935"/>
    <x:sheet xmlns:r="http://schemas.openxmlformats.org/officeDocument/2006/relationships" name="Sample Manifest" sheetId="3" r:id="Rec8ab36954db4c92"/>
    <x:sheet xmlns:r="http://schemas.openxmlformats.org/officeDocument/2006/relationships" name="Edge Cases" sheetId="4" r:id="R03350f986e7f44ce"/>
    <x:sheet xmlns:r="http://schemas.openxmlformats.org/officeDocument/2006/relationships" name="Field Guide" sheetId="5" r:id="Rd91137b0c86b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2606D"/>
      <x:name val="Carlito"/>
    </x:font>
    <x:font>
      <x:b/>
      <x:sz val="11"/>
      <x:color rgb="FF12324A"/>
      <x:name val="Carlito"/>
    </x:font>
    <x:font>
      <x:b/>
      <x:sz val="11"/>
      <x:color rgb="FFFFFFFF"/>
      <x:name val="Carlito"/>
    </x:font>
    <x:font>
      <x:b/>
      <x:sz val="15"/>
      <x:color rgb="FF12324A"/>
      <x:name val="Carlito"/>
    </x:font>
    <x:font>
      <x:b/>
      <x:sz val="11"/>
      <x:color rgb="FF0F766E"/>
      <x:name val="Carlito"/>
    </x:font>
    <x:font>
      <x:b/>
      <x:sz val="11"/>
      <x:color rgb="FF92400E"/>
      <x:name val="Carlito"/>
    </x:font>
    <x:font>
      <x:sz val="11"/>
      <x:color rgb="FF92400E"/>
      <x:name val="Carlito"/>
    </x:font>
    <x:font>
      <x:b/>
      <x:sz val="18"/>
      <x:color rgb="FFFFFFFF"/>
      <x:name val="Aptos"/>
    </x:font>
    <x:font>
      <x:i/>
      <x:sz val="11"/>
      <x:color rgb="FF52606D"/>
      <x:name val="Aptos"/>
    </x:font>
    <x:font>
      <x:sz val="11"/>
      <x:name val="Aptos"/>
    </x:font>
    <x:font>
      <x:b/>
      <x:sz val="11"/>
      <x:color rgb="FF12324A"/>
      <x:name val="Aptos"/>
    </x:font>
    <x:font>
      <x:b/>
      <x:sz val="11"/>
      <x:color rgb="FFFFFFFF"/>
      <x:name val="Aptos"/>
    </x:font>
    <x:font>
      <x:b/>
      <x:sz val="15"/>
      <x:color rgb="FF12324A"/>
      <x:name val="Aptos"/>
    </x:font>
    <x:font>
      <x:b/>
      <x:sz val="11"/>
      <x:color rgb="FF0F766E"/>
      <x:name val="Aptos"/>
    </x:font>
    <x:font>
      <x:b/>
      <x:sz val="11"/>
      <x:color rgb="FF92400E"/>
      <x:name val="Aptos"/>
    </x:font>
    <x:font>
      <x:sz val="11"/>
      <x:color rgb="FF92400E"/>
      <x:name val="Aptos"/>
    </x:font>
    <x:font>
      <x:sz val="11"/>
      <x:color rgb="FF1F2937"/>
      <x:name val="Carlito"/>
    </x:font>
    <x:font>
      <x:sz val="11"/>
      <x:color rgb="FF1F2937"/>
      <x:name val="Aptos"/>
    </x:font>
    <x:font>
      <x:sz val="11"/>
      <x:color rgb="FF1D4ED8"/>
      <x:name val="Aptos"/>
    </x:font>
    <x:font>
      <x:sz val="11"/>
      <x:color rgb="FF9C6500"/>
      <x:name val="Carlito"/>
    </x:font>
    <x:font>
      <x:sz val="11"/>
      <x:color rgb="FFC00000"/>
      <x:name val="Aptos"/>
    </x:font>
    <x:font>
      <x:sz val="11"/>
      <x:color rgb="FF44546A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AF2F8"/>
      </x:patternFill>
    </x:fill>
    <x:fill>
      <x:patternFill patternType="solid">
        <x:fgColor rgb="FFDDF3F0"/>
      </x:patternFill>
    </x:fill>
    <x:fill>
      <x:patternFill patternType="solid">
        <x:fgColor rgb="FF0F766E"/>
      </x:patternFill>
    </x:fill>
    <x:fill>
      <x:patternFill patternType="solid">
        <x:fgColor rgb="FFF6F8FA"/>
      </x:patternFill>
    </x:fill>
    <x:fill>
      <x:patternFill patternType="solid">
        <x:fgColor rgb="FF1E4B63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" xfId="0" applyNumberFormat="1" applyFont="1" applyFill="1" applyBorder="1"/>
    <x:xf numFmtId="0" fontId="8" fillId="9" borderId="3" xfId="0" applyNumberFormat="1" applyFont="1" applyFill="1" applyBorder="1"/>
    <x:xf numFmtId="0" fontId="8" fillId="9" borderId="4" xfId="0" applyNumberFormat="1" applyFont="1" applyFill="1" applyBorder="1"/>
    <x:xf numFmtId="0" fontId="8" fillId="9" borderId="5" xfId="0" applyNumberFormat="1" applyFont="1" applyFill="1" applyBorder="1"/>
    <x:xf numFmtId="0" fontId="8" fillId="9" borderId="6" xfId="0" applyNumberFormat="1" applyFont="1" applyFill="1" applyBorder="1"/>
    <x:xf numFmtId="0" fontId="8" fillId="9" borderId="7" xfId="0" applyNumberFormat="1" applyFont="1" applyFill="1" applyBorder="1"/>
    <x:xf numFmtId="0" fontId="8" fillId="9" borderId="8" xfId="0" applyNumberFormat="1" applyFont="1" applyFill="1" applyBorder="1"/>
    <x:xf numFmtId="0" fontId="8" fillId="9" borderId="9" xfId="0" applyNumberFormat="1" applyFont="1" applyFill="1" applyBorder="1"/>
    <x:xf numFmtId="0" fontId="8" fillId="9" borderId="2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wrapText="1"/>
    </x:xf>
    <x:xf numFmtId="0" fontId="8" fillId="9" borderId="4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0" fontId="8" fillId="9" borderId="6" xfId="0" applyNumberFormat="1" applyFont="1" applyFill="1" applyBorder="1" applyAlignment="1">
      <x:alignment wrapText="1"/>
    </x:xf>
    <x:xf numFmtId="0" fontId="8" fillId="9" borderId="7" xfId="0" applyNumberFormat="1" applyFont="1" applyFill="1" applyBorder="1" applyAlignment="1">
      <x:alignment wrapText="1"/>
    </x:xf>
    <x:xf numFmtId="0" fontId="8" fillId="9" borderId="8" xfId="0" applyNumberFormat="1" applyFont="1" applyFill="1" applyBorder="1" applyAlignment="1">
      <x:alignment wrapText="1"/>
    </x:xf>
    <x:xf numFmtId="0" fontId="8" fillId="9" borderId="9" xfId="0" applyNumberFormat="1" applyFont="1" applyFill="1" applyBorder="1" applyAlignment="1">
      <x:alignment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4" xfId="0" applyNumberFormat="1" applyFont="1" applyFill="1" applyBorder="1" applyAlignment="1">
      <x:alignment vertical="top" wrapText="1"/>
    </x:xf>
    <x:xf numFmtId="0" fontId="8" fillId="9" borderId="5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6" xfId="0" applyNumberFormat="1" applyFont="1" applyFill="1" applyBorder="1" applyAlignment="1">
      <x:alignment vertical="top" wrapText="1"/>
    </x:xf>
    <x:xf numFmtId="0" fontId="8" fillId="9" borderId="7" xfId="0" applyNumberFormat="1" applyFont="1" applyFill="1" applyBorder="1" applyAlignment="1">
      <x:alignment vertical="top" wrapText="1"/>
    </x:xf>
    <x:xf numFmtId="0" fontId="8" fillId="9" borderId="8" xfId="0" applyNumberFormat="1" applyFont="1" applyFill="1" applyBorder="1" applyAlignment="1">
      <x:alignment vertical="top" wrapText="1"/>
    </x:xf>
    <x:xf numFmtId="0" fontId="8" fillId="9" borderId="9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1" xfId="0" applyNumberFormat="1" applyFont="1" applyFill="1" applyBorder="1"/>
    <x:xf numFmtId="0" fontId="11" fillId="0" borderId="1" xfId="0" applyNumberFormat="1" applyFont="1" applyFill="1" applyBorder="1" applyAlignment="1">
      <x:alignment vertical="top" wrapText="1"/>
    </x:xf>
    <x:xf numFmtId="0" fontId="13" fillId="5" borderId="1" xfId="0" applyNumberFormat="1" applyFont="1" applyFill="1" applyBorder="1" applyAlignment="1">
      <x:alignment horizontal="center" wrapText="1"/>
    </x:xf>
    <x:xf numFmtId="0" fontId="14" fillId="6" borderId="1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/>
    <x:xf numFmtId="0" fontId="15" fillId="4" borderId="1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vertical="center" wrapText="1"/>
    </x:xf>
    <x:xf numFmtId="0" fontId="16" fillId="8" borderId="0" xfId="0" applyNumberFormat="1" applyFont="1" applyFill="1" applyBorder="1"/>
    <x:xf numFmtId="0" fontId="17" fillId="9" borderId="2" xfId="0" applyNumberFormat="1" applyFont="1" applyFill="1" applyBorder="1" applyAlignment="1">
      <x:alignment vertical="top" wrapText="1"/>
    </x:xf>
    <x:xf numFmtId="0" fontId="17" fillId="9" borderId="3" xfId="0" applyNumberFormat="1" applyFont="1" applyFill="1" applyBorder="1" applyAlignment="1">
      <x:alignment vertical="top" wrapText="1"/>
    </x:xf>
    <x:xf numFmtId="0" fontId="17" fillId="9" borderId="4" xfId="0" applyNumberFormat="1" applyFont="1" applyFill="1" applyBorder="1" applyAlignment="1">
      <x:alignment vertical="top" wrapText="1"/>
    </x:xf>
    <x:xf numFmtId="0" fontId="17" fillId="9" borderId="5" xfId="0" applyNumberFormat="1" applyFont="1" applyFill="1" applyBorder="1" applyAlignment="1">
      <x:alignment vertical="top" wrapText="1"/>
    </x:xf>
    <x:xf numFmtId="0" fontId="17" fillId="9" borderId="0" xfId="0" applyNumberFormat="1" applyFont="1" applyFill="1" applyBorder="1" applyAlignment="1">
      <x:alignment vertical="top" wrapText="1"/>
    </x:xf>
    <x:xf numFmtId="0" fontId="17" fillId="9" borderId="6" xfId="0" applyNumberFormat="1" applyFont="1" applyFill="1" applyBorder="1" applyAlignment="1">
      <x:alignment vertical="top" wrapText="1"/>
    </x:xf>
    <x:xf numFmtId="0" fontId="17" fillId="9" borderId="7" xfId="0" applyNumberFormat="1" applyFont="1" applyFill="1" applyBorder="1" applyAlignment="1">
      <x:alignment vertical="top" wrapText="1"/>
    </x:xf>
    <x:xf numFmtId="0" fontId="17" fillId="9" borderId="8" xfId="0" applyNumberFormat="1" applyFont="1" applyFill="1" applyBorder="1" applyAlignment="1">
      <x:alignment vertical="top" wrapText="1"/>
    </x:xf>
    <x:xf numFmtId="0" fontId="17" fillId="9" borderId="9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1" xfId="0" applyNumberFormat="1" applyFont="1" applyFill="1" applyBorder="1"/>
    <x:xf numFmtId="0" fontId="18" fillId="0" borderId="1" xfId="0" applyNumberFormat="1" applyFont="1" applyFill="1" applyBorder="1" applyAlignment="1">
      <x:alignment wrapText="1"/>
    </x:xf>
    <x:xf numFmtId="0" fontId="18" fillId="0" borderId="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top" wrapText="1"/>
    </x:xf>
    <x:xf numFmtId="0" fontId="2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21" fillId="10" borderId="0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20" fillId="0" borderId="1" xfId="0" applyNumberFormat="1" applyFont="1" applyFill="1" applyBorder="1" applyAlignment="1">
      <x:alignment vertical="center" wrapText="1"/>
    </x:xf>
    <x:xf numFmtId="0" fontId="19" fillId="11" borderId="1" xfId="0" applyNumberFormat="1" applyFont="1" applyFill="1" applyBorder="1" applyAlignment="1">
      <x:alignment vertical="center" wrapText="1"/>
    </x:xf>
    <x:xf numFmtId="0" fontId="22" fillId="11" borderId="1" xfId="0" applyNumberFormat="1" applyFont="1" applyFill="1" applyBorder="1" applyAlignment="1">
      <x:alignment vertical="center" wrapText="1"/>
    </x:xf>
    <x:xf numFmtId="0" fontId="19" fillId="12" borderId="1" xfId="0" applyNumberFormat="1" applyFont="1" applyFill="1" applyBorder="1" applyAlignment="1">
      <x:alignment vertical="center" wrapText="1"/>
    </x:xf>
    <x:xf numFmtId="0" fontId="23" fillId="1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40d28c284d4182" /><Relationship Type="http://schemas.openxmlformats.org/officeDocument/2006/relationships/theme" Target="/xl/theme/theme1.xml" Id="Rf028eae56b1642c9" /><Relationship Type="http://schemas.openxmlformats.org/officeDocument/2006/relationships/sharedStrings" Target="/xl/sharedStrings.xml" Id="R7999481e41c348bb" /><Relationship Type="http://schemas.openxmlformats.org/officeDocument/2006/relationships/worksheet" Target="/xl/worksheets/sheet1.xml" Id="Rd7bf59bc479f469d" /><Relationship Type="http://schemas.openxmlformats.org/officeDocument/2006/relationships/worksheet" Target="/xl/worksheets/sheet2.xml" Id="R73f6913977884935" /><Relationship Type="http://schemas.openxmlformats.org/officeDocument/2006/relationships/worksheet" Target="/xl/worksheets/sheet3.xml" Id="Rec8ab36954db4c92" /><Relationship Type="http://schemas.openxmlformats.org/officeDocument/2006/relationships/worksheet" Target="/xl/worksheets/sheet4.xml" Id="R03350f986e7f44ce" /><Relationship Type="http://schemas.openxmlformats.org/officeDocument/2006/relationships/worksheet" Target="/xl/worksheets/sheet5.xml" Id="Rd91137b0c86b434c" /></Relationships>
</file>

<file path=xl/tables/table1.xml><?xml version="1.0" encoding="utf-8"?>
<x:table xmlns:x="http://schemas.openxmlformats.org/spreadsheetml/2006/main" id="1" name="ProjectsTable" displayName="ProjectsTable" ref="A5:R22" headerRowCount="1" totalsRowCount="0" totalsRowShown="0">
  <x:autoFilter ref="A5:R22"/>
  <x:tableColumns count="18">
    <x:tableColumn id="1" name="project_key"/>
    <x:tableColumn id="2" name="study_accession"/>
    <x:tableColumn id="3" name="bioproject"/>
    <x:tableColumn id="4" name="sra_study"/>
    <x:tableColumn id="5" name="organism"/>
    <x:tableColumn id="6" name="biological_material"/>
    <x:tableColumn id="7" name="assay"/>
    <x:tableColumn id="8" name="publication_status"/>
    <x:tableColumn id="9" name="target_rows"/>
    <x:tableColumn id="10" name="control_rows"/>
    <x:tableColumn id="11" name="replicate_design"/>
    <x:tableColumn id="12" name="deposited_build"/>
    <x:tableColumn id="13" name="recommended_build"/>
    <x:tableColumn id="14" name="priority_tier"/>
    <x:tableColumn id="15" name="default_decision"/>
    <x:tableColumn id="16" name="key_caveat"/>
    <x:tableColumn id="17" name="project_run_inventory"/>
    <x:tableColumn id="18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ManifestTable" displayName="SampleManifestTable" ref="A5:AC63" headerRowCount="1" totalsRowCount="0" totalsRowShown="0">
  <x:autoFilter ref="A5:AC63"/>
  <x:tableColumns count="29">
    <x:tableColumn id="1" name="project_key"/>
    <x:tableColumn id="2" name="study_accession"/>
    <x:tableColumn id="3" name="bioproject"/>
    <x:tableColumn id="4" name="sra_study"/>
    <x:tableColumn id="5" name="sample_accession"/>
    <x:tableColumn id="6" name="sample_name"/>
    <x:tableColumn id="7" name="sra_experiment"/>
    <x:tableColumn id="8" name="run_accession"/>
    <x:tableColumn id="9" name="organism"/>
    <x:tableColumn id="10" name="biological_material"/>
    <x:tableColumn id="11" name="condition"/>
    <x:tableColumn id="12" name="developmental_stage_age"/>
    <x:tableColumn id="13" name="sex"/>
    <x:tableColumn id="14" name="assay_label"/>
    <x:tableColumn id="15" name="assay_family"/>
    <x:tableColumn id="16" name="cap_status"/>
    <x:tableColumn id="17" name="biological_replicate"/>
    <x:tableColumn id="18" name="replicate_group"/>
    <x:tableColumn id="19" name="library_layout"/>
    <x:tableColumn id="20" name="raw_fastq_url"/>
    <x:tableColumn id="21" name="archive_fastq_lookup_url"/>
    <x:tableColumn id="22" name="deposited_processed_assembly"/>
    <x:tableColumn id="23" name="recommended_realign_assembly"/>
    <x:tableColumn id="24" name="spike_in"/>
    <x:tableColumn id="25" name="target_use"/>
    <x:tableColumn id="26" name="default_include"/>
    <x:tableColumn id="27" name="archive_mapping_status"/>
    <x:tableColumn id="28" name="notes"/>
    <x:tableColumn id="29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EdgeCasesTable" displayName="EdgeCasesTable" ref="A5:F10" headerRowCount="1" totalsRowCount="0" totalsRowShown="0">
  <x:tableColumns count="6">
    <x:tableColumn id="1" name="candidate_or_exclusion"/>
    <x:tableColumn id="2" name="organism_or_context"/>
    <x:tableColumn id="3" name="status"/>
    <x:tableColumn id="4" name="reason"/>
    <x:tableColumn id="5" name="next_validation_step"/>
    <x:tableColumn id="6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eldGuideTable" displayName="FieldGuideTable" ref="A5:C23" headerRowCount="1" totalsRowCount="0" totalsRowShown="0">
  <x:tableColumns count="3">
    <x:tableColumn id="1" name="field_or_rule"/>
    <x:tableColumn id="2" name="definition"/>
    <x:tableColumn id="3" name="recommended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ee9ebcea664e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65c9fc96f44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44a7157c9546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2ff4d23f6247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60" t="str">
        <x:v>Non-human capped run-on sequencing manifest</x:v>
      </x:c>
      <x:c r="B1" s="60" t="str">
        <x:v>Non-human capped run-on sequencing manifest</x:v>
      </x:c>
      <x:c r="C1" s="60" t="str">
        <x:v>Non-human capped run-on sequencing manifest</x:v>
      </x:c>
      <x:c r="D1" s="60" t="str">
        <x:v>Non-human capped run-on sequencing manifest</x:v>
      </x:c>
      <x:c r="E1" s="60" t="str">
        <x:v>Non-human capped run-on sequencing manifest</x:v>
      </x:c>
      <x:c r="F1" s="60" t="str">
        <x:v>Non-human capped run-on sequencing manifest</x:v>
      </x:c>
    </x:row>
    <x:row r="2" ht="24" customHeight="1">
      <x:c r="A2" s="60" t="str">
        <x:v>Non-human capped run-on sequencing manifest</x:v>
      </x:c>
      <x:c r="B2" s="60" t="str">
        <x:v>Non-human capped run-on sequencing manifest</x:v>
      </x:c>
      <x:c r="C2" s="60" t="str">
        <x:v>Non-human capped run-on sequencing manifest</x:v>
      </x:c>
      <x:c r="D2" s="60" t="str">
        <x:v>Non-human capped run-on sequencing manifest</x:v>
      </x:c>
      <x:c r="E2" s="60" t="str">
        <x:v>Non-human capped run-on sequencing manifest</x:v>
      </x:c>
      <x:c r="F2" s="60" t="str">
        <x:v>Non-human capped run-on sequencing manifest</x:v>
      </x:c>
    </x:row>
    <x:row r="3" ht="24" customHeight="1">
      <x:c r="A3" s="61" t="str">
        <x:v>PRO-cap, GRO-cap, ChRO-cap, and validated 5′GRO/CoPRO equivalents | metadata snapshot: 2026-08-31</x:v>
      </x:c>
      <x:c r="B3" s="61"/>
      <x:c r="C3" s="61"/>
      <x:c r="D3" s="61"/>
      <x:c r="E3" s="61"/>
      <x:c r="F3" s="61"/>
    </x:row>
    <x:row r="4">
      <x:c r="A4" s="62"/>
      <x:c r="B4" s="62"/>
      <x:c r="C4" s="62"/>
      <x:c r="D4" s="62"/>
      <x:c r="E4" s="62"/>
      <x:c r="F4" s="62"/>
    </x:row>
    <x:row r="5" ht="29" customHeight="1">
      <x:c r="A5" s="63" t="str">
        <x:v>Snapshot date</x:v>
      </x:c>
      <x:c r="B5" s="64" t="str">
        <x:v>2026-08-31</x:v>
      </x:c>
      <x:c r="C5" s="62"/>
      <x:c r="D5" s="62"/>
      <x:c r="E5" s="62"/>
      <x:c r="F5" s="62"/>
    </x:row>
    <x:row r="6" ht="29" customHeight="1">
      <x:c r="A6" s="63" t="str">
        <x:v>Scope</x:v>
      </x:c>
      <x:c r="B6" s="64" t="str">
        <x:v>Non-human biological samples with nascent nuclear run-on plus protocol-level biochemical 5′-cap enrichment. Ordinary GRO/PRO/ChRO 5′-end tracks, spike-ins, and human-host viral studies are not counted as positive biological samples.</x:v>
      </x:c>
      <x:c r="C6" s="62"/>
      <x:c r="D6" s="62"/>
      <x:c r="E6" s="62"/>
      <x:c r="F6" s="62"/>
    </x:row>
    <x:row r="7" ht="29" customHeight="1">
      <x:c r="A7" s="63" t="str">
        <x:v>Curation rule</x:v>
      </x:c>
      <x:c r="B7" s="64" t="str">
        <x:v>Inclusion requires protocol or sample-metadata evidence of cap-state enrichment; a 5′ coordinate track or filename alone does not qualify. No accession was guessed; blank cells mean unresolved.</x:v>
      </x:c>
      <x:c r="C7" s="62"/>
      <x:c r="D7" s="62"/>
      <x:c r="E7" s="62"/>
      <x:c r="F7" s="62"/>
    </x:row>
    <x:row r="8" ht="29" customHeight="1">
      <x:c r="A8" s="62"/>
      <x:c r="B8" s="62"/>
      <x:c r="C8" s="62"/>
      <x:c r="D8" s="62"/>
      <x:c r="E8" s="62"/>
      <x:c r="F8" s="62"/>
    </x:row>
    <x:row r="9" ht="29" customHeight="1">
      <x:c r="A9" s="65" t="str">
        <x:v>Sample/library rows</x:v>
      </x:c>
      <x:c r="B9" s="65" t="str">
        <x:v>Projects</x:v>
      </x:c>
      <x:c r="C9" s="65" t="str">
        <x:v>Include</x:v>
      </x:c>
      <x:c r="D9" s="65" t="str">
        <x:v>Conditional</x:v>
      </x:c>
      <x:c r="E9" s="65" t="str">
        <x:v>Exclude</x:v>
      </x:c>
      <x:c r="F9" s="65" t="str">
        <x:v>Rows with exact run ID</x:v>
      </x:c>
    </x:row>
    <x:row r="10" ht="29" customHeight="1">
      <x:c r="A10" s="66" t="n">
        <x:f>COUNTA('Sample Manifest'!$E$6:$E$63)</x:f>
        <x:v>58</x:v>
      </x:c>
      <x:c r="B10" s="66" t="n">
        <x:f>COUNTA(Projects!$A$6:$A$22)</x:f>
        <x:v>17</x:v>
      </x:c>
      <x:c r="C10" s="66" t="n">
        <x:f>COUNTIF('Sample Manifest'!$Z$6:$Z$63,"include")</x:f>
        <x:v>19</x:v>
      </x:c>
      <x:c r="D10" s="66" t="n">
        <x:f>COUNTIF('Sample Manifest'!$Z$6:$Z$63,"conditional")</x:f>
        <x:v>34</x:v>
      </x:c>
      <x:c r="E10" s="66" t="n">
        <x:f>COUNTIF('Sample Manifest'!$Z$6:$Z$63,"exclude")</x:f>
        <x:v>5</x:v>
      </x:c>
      <x:c r="F10" s="66" t="n">
        <x:f>COUNTA('Sample Manifest'!$H$6:$H$63)</x:f>
        <x:v>2</x:v>
      </x:c>
    </x:row>
    <x:row r="11" ht="29" customHeight="1">
      <x:c r="A11" s="62"/>
      <x:c r="B11" s="62"/>
      <x:c r="C11" s="62"/>
      <x:c r="D11" s="62"/>
      <x:c r="E11" s="62"/>
      <x:c r="F11" s="62"/>
    </x:row>
    <x:row r="12" ht="29" customHeight="1">
      <x:c r="A12" s="67" t="str">
        <x:v>Recommended modeling order</x:v>
      </x:c>
      <x:c r="B12" s="67"/>
      <x:c r="C12" s="67"/>
      <x:c r="D12" s="67"/>
      <x:c r="E12" s="67"/>
      <x:c r="F12" s="67"/>
    </x:row>
    <x:row r="13" ht="29" customHeight="1">
      <x:c r="A13" s="68" t="str">
        <x:v>1</x:v>
      </x:c>
      <x:c r="B13" s="69" t="str">
        <x:v>Build organism-specific baselines from rows marked include; keep assay family as a covariate.</x:v>
      </x:c>
      <x:c r="C13" s="69"/>
      <x:c r="D13" s="69"/>
      <x:c r="E13" s="69"/>
      <x:c r="F13" s="69"/>
    </x:row>
    <x:row r="14" ht="29" customHeight="1">
      <x:c r="A14" s="68" t="str">
        <x:v>2</x:v>
      </x:c>
      <x:c r="B14" s="69" t="str">
        <x:v>Resolve blank run accessions through the supplied archive lookup URL, then record MD5 and exact read layout.</x:v>
      </x:c>
      <x:c r="C14" s="69"/>
      <x:c r="D14" s="69"/>
      <x:c r="E14" s="69"/>
      <x:c r="F14" s="69"/>
    </x:row>
    <x:row r="15" ht="29" customHeight="1">
      <x:c r="A15" s="68" t="str">
        <x:v>3</x:v>
      </x:c>
      <x:c r="B15" s="69" t="str">
        <x:v>Reprocess raw reads uniformly on the recommended current assembly; do not mix legacy processed tracks into labels without liftover/QC.</x:v>
      </x:c>
      <x:c r="C15" s="69"/>
      <x:c r="D15" s="69"/>
      <x:c r="E15" s="69"/>
      <x:c r="F15" s="69"/>
    </x:row>
    <x:row r="16" ht="29" customHeight="1">
      <x:c r="A16" s="68" t="str">
        <x:v>4</x:v>
      </x:c>
      <x:c r="B16" s="69" t="str">
        <x:v>Use TAP−/noTAP rows for background and specificity checks only.</x:v>
      </x:c>
      <x:c r="C16" s="69"/>
      <x:c r="D16" s="69"/>
      <x:c r="E16" s="69"/>
      <x:c r="F16" s="69"/>
    </x:row>
    <x:row r="17" ht="29" customHeight="1">
      <x:c r="A17" s="68" t="str">
        <x:v>5</x:v>
      </x:c>
      <x:c r="B17" s="69" t="str">
        <x:v>Add conditional perturbations and 5′GRO equivalents after the baseline model is stable.</x:v>
      </x:c>
      <x:c r="C17" s="69"/>
      <x:c r="D17" s="69"/>
      <x:c r="E17" s="69"/>
      <x:c r="F17" s="69"/>
    </x:row>
    <x:row r="18" ht="29" customHeight="1">
      <x:c r="A18" s="62"/>
      <x:c r="B18" s="62"/>
      <x:c r="C18" s="62"/>
      <x:c r="D18" s="62"/>
      <x:c r="E18" s="62"/>
      <x:c r="F18" s="62"/>
    </x:row>
    <x:row r="19" ht="29" customHeight="1">
      <x:c r="A19" s="70" t="str">
        <x:v>Important archive limitation</x:v>
      </x:c>
      <x:c r="B19" s="70"/>
      <x:c r="C19" s="70"/>
      <x:c r="D19" s="70"/>
      <x:c r="E19" s="70"/>
      <x:c r="F19" s="70"/>
    </x:row>
    <x:row r="20" ht="29" customHeight="1">
      <x:c r="A20" s="71" t="str">
        <x:v>Only rows with independently resolved SRR accessions carry direct ENA FASTQ paths. Several added rows have verified SRX IDs and ENA lookup URLs; resolve run accessions, layout, FASTQ path, and MD5 before bulk download.</x:v>
      </x:c>
      <x:c r="B20" s="72"/>
      <x:c r="C20" s="72"/>
      <x:c r="D20" s="72"/>
      <x:c r="E20" s="72"/>
      <x:c r="F20" s="73"/>
    </x:row>
    <x:row r="21" ht="29" customHeight="1">
      <x:c r="A21" s="74"/>
      <x:c r="B21" s="75"/>
      <x:c r="C21" s="75"/>
      <x:c r="D21" s="75"/>
      <x:c r="E21" s="75"/>
      <x:c r="F21" s="76"/>
    </x:row>
    <x:row r="22" ht="29" customHeight="1">
      <x:c r="A22" s="77"/>
      <x:c r="B22" s="78"/>
      <x:c r="C22" s="78"/>
      <x:c r="D22" s="78"/>
      <x:c r="E22" s="78"/>
      <x:c r="F22" s="79"/>
    </x:row>
    <x:row r="23" ht="29" customHeight="1">
      <x:c r="A23" s="62"/>
      <x:c r="B23" s="62"/>
      <x:c r="C23" s="62"/>
      <x:c r="D23" s="62"/>
      <x:c r="E23" s="62"/>
      <x:c r="F23" s="62"/>
    </x:row>
    <x:row r="24" ht="29" customHeight="1">
      <x:c r="A24" s="67" t="str">
        <x:v>Workbook map</x:v>
      </x:c>
      <x:c r="B24" s="67"/>
      <x:c r="C24" s="67"/>
      <x:c r="D24" s="67"/>
      <x:c r="E24" s="67"/>
      <x:c r="F24" s="67"/>
    </x:row>
    <x:row r="25" ht="29" customHeight="1">
      <x:c r="A25" s="63" t="str">
        <x:v>Projects</x:v>
      </x:c>
      <x:c r="B25" s="80" t="str">
        <x:v>Study-level overview, formula-driven target/control counts, builds, caveats, and run inventory notes.</x:v>
      </x:c>
      <x:c r="C25" s="80"/>
      <x:c r="D25" s="80"/>
      <x:c r="E25" s="80"/>
      <x:c r="F25" s="80"/>
    </x:row>
    <x:row r="26" ht="29" customHeight="1">
      <x:c r="A26" s="63" t="str">
        <x:v>Sample Manifest</x:v>
      </x:c>
      <x:c r="B26" s="80" t="str">
        <x:v>One row per biological library/sample record with accessions, layouts, download fields, replicate groups, spike-ins, and include flags.</x:v>
      </x:c>
      <x:c r="C26" s="80"/>
      <x:c r="D26" s="80"/>
      <x:c r="E26" s="80"/>
      <x:c r="F26" s="80"/>
    </x:row>
    <x:row r="27" ht="29" customHeight="1">
      <x:c r="A27" s="63" t="str">
        <x:v>Edge Cases</x:v>
      </x:c>
      <x:c r="B27" s="80" t="str">
        <x:v>Protocol/species candidates intentionally held out or excluded.</x:v>
      </x:c>
      <x:c r="C27" s="80"/>
      <x:c r="D27" s="80"/>
      <x:c r="E27" s="80"/>
      <x:c r="F27" s="80"/>
    </x:row>
    <x:row r="28" ht="29" customHeight="1">
      <x:c r="A28" s="63" t="str">
        <x:v>Field Guide</x:v>
      </x:c>
      <x:c r="B28" s="80" t="str">
        <x:v>Definitions and preprocessing/modeling rules for using the manifest safely.</x:v>
      </x:c>
      <x:c r="C28" s="80"/>
      <x:c r="D28" s="80"/>
      <x:c r="E28" s="80"/>
      <x:c r="F28" s="80"/>
    </x:row>
  </x:sheetData>
  <x:mergeCells>
    <x:mergeCell ref="A1:F2"/>
    <x:mergeCell ref="A3:F3"/>
    <x:mergeCell ref="B6:F6"/>
    <x:mergeCell ref="B7:F7"/>
    <x:mergeCell ref="A12:F12"/>
    <x:mergeCell ref="B13:F13"/>
    <x:mergeCell ref="B14:F14"/>
    <x:mergeCell ref="B15:F15"/>
    <x:mergeCell ref="B16:F16"/>
    <x:mergeCell ref="B17:F17"/>
    <x:mergeCell ref="A19:F19"/>
    <x:mergeCell ref="A20:F22"/>
    <x:mergeCell ref="A24:F24"/>
    <x:mergeCell ref="B25:F25"/>
    <x:mergeCell ref="B26:F26"/>
    <x:mergeCell ref="B27:F27"/>
    <x:mergeCell ref="B28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6" hidden="0" customWidth="1"/>
    <x:col min="4" max="4" width="14" hidden="0" customWidth="1"/>
    <x:col min="5" max="5" width="24" hidden="0" customWidth="1"/>
    <x:col min="6" max="6" width="28" hidden="0" customWidth="1"/>
    <x:col min="7" max="7" width="20" hidden="0" customWidth="1"/>
    <x:col min="8" max="8" width="20" hidden="0" customWidth="1"/>
    <x:col min="9" max="9" width="11" hidden="0" customWidth="1"/>
    <x:col min="10" max="10" width="11" hidden="0" customWidth="1"/>
    <x:col min="11" max="11" width="27" hidden="0" customWidth="1"/>
    <x:col min="12" max="12" width="19" hidden="0" customWidth="1"/>
    <x:col min="13" max="13" width="22" hidden="0" customWidth="1"/>
    <x:col min="14" max="14" width="16" hidden="0" customWidth="1"/>
    <x:col min="15" max="15" width="16" hidden="0" customWidth="1"/>
    <x:col min="16" max="16" width="38" hidden="0" customWidth="1"/>
    <x:col min="17" max="17" width="55" hidden="0" customWidth="1"/>
    <x:col min="18" max="18" width="42" hidden="0" customWidth="1"/>
  </x:cols>
  <x:sheetData>
    <x:row r="1" ht="24" customHeight="1">
      <x:c r="A1" s="60" t="str">
        <x:v>Projects</x:v>
      </x:c>
      <x:c r="B1" s="60" t="str">
        <x:v>Projects</x:v>
      </x:c>
      <x:c r="C1" s="60" t="str">
        <x:v>Projects</x:v>
      </x:c>
      <x:c r="D1" s="60" t="str">
        <x:v>Projects</x:v>
      </x:c>
      <x:c r="E1" s="60" t="str">
        <x:v>Projects</x:v>
      </x:c>
      <x:c r="F1" s="60" t="str">
        <x:v>Projects</x:v>
      </x:c>
      <x:c r="G1" s="60" t="str">
        <x:v>Projects</x:v>
      </x:c>
      <x:c r="H1" s="60" t="str">
        <x:v>Projects</x:v>
      </x:c>
      <x:c r="I1" s="60" t="str">
        <x:v>Projects</x:v>
      </x:c>
      <x:c r="J1" s="60" t="str">
        <x:v>Projects</x:v>
      </x:c>
      <x:c r="K1" s="60" t="str">
        <x:v>Projects</x:v>
      </x:c>
      <x:c r="L1" s="60" t="str">
        <x:v>Projects</x:v>
      </x:c>
      <x:c r="M1" s="60" t="str">
        <x:v>Projects</x:v>
      </x:c>
      <x:c r="N1" s="60" t="str">
        <x:v>Projects</x:v>
      </x:c>
      <x:c r="O1" s="60" t="str">
        <x:v>Projects</x:v>
      </x:c>
      <x:c r="P1" s="60" t="str">
        <x:v>Projects</x:v>
      </x:c>
      <x:c r="Q1" s="60" t="str">
        <x:v>Projects</x:v>
      </x:c>
      <x:c r="R1" s="60" t="str">
        <x:v>Projects</x:v>
      </x:c>
    </x:row>
    <x:row r="2" ht="24" customHeight="1">
      <x:c r="A2" s="60" t="str">
        <x:v>Projects</x:v>
      </x:c>
      <x:c r="B2" s="60" t="str">
        <x:v>Projects</x:v>
      </x:c>
      <x:c r="C2" s="60" t="str">
        <x:v>Projects</x:v>
      </x:c>
      <x:c r="D2" s="60" t="str">
        <x:v>Projects</x:v>
      </x:c>
      <x:c r="E2" s="60" t="str">
        <x:v>Projects</x:v>
      </x:c>
      <x:c r="F2" s="60" t="str">
        <x:v>Projects</x:v>
      </x:c>
      <x:c r="G2" s="60" t="str">
        <x:v>Projects</x:v>
      </x:c>
      <x:c r="H2" s="60" t="str">
        <x:v>Projects</x:v>
      </x:c>
      <x:c r="I2" s="60" t="str">
        <x:v>Projects</x:v>
      </x:c>
      <x:c r="J2" s="60" t="str">
        <x:v>Projects</x:v>
      </x:c>
      <x:c r="K2" s="60" t="str">
        <x:v>Projects</x:v>
      </x:c>
      <x:c r="L2" s="60" t="str">
        <x:v>Projects</x:v>
      </x:c>
      <x:c r="M2" s="60" t="str">
        <x:v>Projects</x:v>
      </x:c>
      <x:c r="N2" s="60" t="str">
        <x:v>Projects</x:v>
      </x:c>
      <x:c r="O2" s="60" t="str">
        <x:v>Projects</x:v>
      </x:c>
      <x:c r="P2" s="60" t="str">
        <x:v>Projects</x:v>
      </x:c>
      <x:c r="Q2" s="60" t="str">
        <x:v>Projects</x:v>
      </x:c>
      <x:c r="R2" s="60" t="str">
        <x:v>Projects</x:v>
      </x:c>
    </x:row>
    <x:row r="3" ht="24" customHeight="1">
      <x:c r="A3" s="61" t="str">
        <x:v>Study-level inventory; target/control counts are calculated from the Sample Manifest sheet.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</x:row>
    <x:row r="5">
      <x:c r="A5" s="88" t="str">
        <x:v>project_key</x:v>
      </x:c>
      <x:c r="B5" s="88" t="str">
        <x:v>study_accession</x:v>
      </x:c>
      <x:c r="C5" s="88" t="str">
        <x:v>bioproject</x:v>
      </x:c>
      <x:c r="D5" s="88" t="str">
        <x:v>sra_study</x:v>
      </x:c>
      <x:c r="E5" s="88" t="str">
        <x:v>organism</x:v>
      </x:c>
      <x:c r="F5" s="88" t="str">
        <x:v>biological_material</x:v>
      </x:c>
      <x:c r="G5" s="88" t="str">
        <x:v>assay</x:v>
      </x:c>
      <x:c r="H5" s="88" t="str">
        <x:v>publication_status</x:v>
      </x:c>
      <x:c r="I5" s="88" t="str">
        <x:v>target_rows</x:v>
      </x:c>
      <x:c r="J5" s="88" t="str">
        <x:v>control_rows</x:v>
      </x:c>
      <x:c r="K5" s="88" t="str">
        <x:v>replicate_design</x:v>
      </x:c>
      <x:c r="L5" s="88" t="str">
        <x:v>deposited_build</x:v>
      </x:c>
      <x:c r="M5" s="88" t="str">
        <x:v>recommended_build</x:v>
      </x:c>
      <x:c r="N5" s="88" t="str">
        <x:v>priority_tier</x:v>
      </x:c>
      <x:c r="O5" s="88" t="str">
        <x:v>default_decision</x:v>
      </x:c>
      <x:c r="P5" s="88" t="str">
        <x:v>key_caveat</x:v>
      </x:c>
      <x:c r="Q5" s="88" t="str">
        <x:v>project_run_inventory</x:v>
      </x:c>
      <x:c r="R5" s="88" t="str">
        <x:v>source_url</x:v>
      </x:c>
    </x:row>
    <x:row r="6" ht="54" customHeight="1">
      <x:c r="A6" s="89" t="str">
        <x:v>Kim2018_mm_ESC_BMDM</x:v>
      </x:c>
      <x:c r="B6" s="89" t="str">
        <x:v>GSE81677</x:v>
      </x:c>
      <x:c r="C6" s="89" t="str">
        <x:v>PRJNA322299</x:v>
      </x:c>
      <x:c r="D6" s="89" t="str">
        <x:v>SRP075469</x:v>
      </x:c>
      <x:c r="E6" s="89" t="str">
        <x:v>Mus musculus</x:v>
      </x:c>
      <x:c r="F6" s="89" t="str">
        <x:v>ESCs; macrophages</x:v>
      </x:c>
      <x:c r="G6" s="89" t="str">
        <x:v>PRO-cap</x:v>
      </x:c>
      <x:c r="H6" s="89" t="str">
        <x:v>published</x:v>
      </x:c>
      <x:c r="I6" s="89" t="n">
        <x:f>COUNTIFS('Sample Manifest'!$A$6:$A$63,A6,'Sample Manifest'!$Y$6:$Y$63,"target")</x:f>
        <x:v>2</x:v>
      </x:c>
      <x:c r="J6" s="89" t="n">
        <x:f>COUNTIFS('Sample Manifest'!$A$6:$A$63,A6,'Sample Manifest'!$Y$6:$Y$63,"control")</x:f>
        <x:v>0</x:v>
      </x:c>
      <x:c r="K6" s="89" t="str">
        <x:v>one library per cell type</x:v>
      </x:c>
      <x:c r="L6" s="89" t="str">
        <x:v>mm9</x:v>
      </x:c>
      <x:c r="M6" s="89" t="str">
        <x:v>mm39</x:v>
      </x:c>
      <x:c r="N6" s="89" t="str">
        <x:v>1 — core</x:v>
      </x:c>
      <x:c r="O6" s="89" t="str">
        <x:v>include</x:v>
      </x:c>
      <x:c r="P6" s="89" t="str">
        <x:v>No within-condition biological replication.</x:v>
      </x:c>
      <x:c r="Q6" s="89" t="str">
        <x:v>Run crosswalk unresolved; SRX1781901 and SRX1781902 verified.</x:v>
      </x:c>
      <x:c r="R6" s="90" t="str">
        <x:v>https://www.ncbi.nlm.nih.gov/geo/query/acc.cgi?acc=GSE81677</x:v>
      </x:c>
    </x:row>
    <x:row r="7" ht="54" customHeight="1">
      <x:c r="A7" s="89" t="str">
        <x:v>Liver_ChROcap_mm</x:v>
      </x:c>
      <x:c r="B7" s="89" t="str">
        <x:v>GSE156828</x:v>
      </x:c>
      <x:c r="C7" s="89" t="str">
        <x:v>PRJNA659369</x:v>
      </x:c>
      <x:c r="D7" s="89" t="str">
        <x:v>SRP278822</x:v>
      </x:c>
      <x:c r="E7" s="89" t="str">
        <x:v>Mus musculus</x:v>
      </x:c>
      <x:c r="F7" s="89" t="str">
        <x:v>frozen liver</x:v>
      </x:c>
      <x:c r="G7" s="89" t="str">
        <x:v>ChRO-cap</x:v>
      </x:c>
      <x:c r="H7" s="89" t="str">
        <x:v>published</x:v>
      </x:c>
      <x:c r="I7" s="89" t="n">
        <x:f>COUNTIFS('Sample Manifest'!$A$6:$A$63,A7,'Sample Manifest'!$Y$6:$Y$63,"target")</x:f>
        <x:v>8</x:v>
      </x:c>
      <x:c r="J7" s="89" t="n">
        <x:f>COUNTIFS('Sample Manifest'!$A$6:$A$63,A7,'Sample Manifest'!$Y$6:$Y$63,"control")</x:f>
        <x:v>0</x:v>
      </x:c>
      <x:c r="K7" s="89" t="str">
        <x:v>2 reps per age × sex stratum</x:v>
      </x:c>
      <x:c r="L7" s="89" t="str">
        <x:v>mm10</x:v>
      </x:c>
      <x:c r="M7" s="89" t="str">
        <x:v>mm39</x:v>
      </x:c>
      <x:c r="N7" s="89" t="str">
        <x:v>1 — core</x:v>
      </x:c>
      <x:c r="O7" s="89" t="str">
        <x:v>include</x:v>
      </x:c>
      <x:c r="P7" s="89" t="str">
        <x:v>Paired-end assay orientation differs from typical PRO-cap.</x:v>
      </x:c>
      <x:c r="Q7" s="89" t="str">
        <x:v>SRX9004528, SRX9004530, SRX9004533 verified; remaining runs unresolved.</x:v>
      </x:c>
      <x:c r="R7" s="90" t="str">
        <x:v>https://www.ncbi.nlm.nih.gov/geo/query/acc.cgi?acc=GSE156828</x:v>
      </x:c>
    </x:row>
    <x:row r="8" ht="54" customHeight="1">
      <x:c r="A8" s="89" t="str">
        <x:v>Bcell_PROcap_mm</x:v>
      </x:c>
      <x:c r="B8" s="89" t="str">
        <x:v>GSE202040</x:v>
      </x:c>
      <x:c r="C8" s="89" t="str">
        <x:v>PRJNA834081</x:v>
      </x:c>
      <x:c r="D8" s="89" t="str"/>
      <x:c r="E8" s="89" t="str">
        <x:v>Mus musculus</x:v>
      </x:c>
      <x:c r="F8" s="89" t="str">
        <x:v>primary activated and germinal-center B cells</x:v>
      </x:c>
      <x:c r="G8" s="89" t="str">
        <x:v>PRO-cap</x:v>
      </x:c>
      <x:c r="H8" s="89" t="str">
        <x:v>preprint/public record</x:v>
      </x:c>
      <x:c r="I8" s="89" t="n">
        <x:f>COUNTIFS('Sample Manifest'!$A$6:$A$63,A8,'Sample Manifest'!$Y$6:$Y$63,"target")</x:f>
        <x:v>3</x:v>
      </x:c>
      <x:c r="J8" s="89" t="n">
        <x:f>COUNTIFS('Sample Manifest'!$A$6:$A$63,A8,'Sample Manifest'!$Y$6:$Y$63,"control")</x:f>
        <x:v>0</x:v>
      </x:c>
      <x:c r="K8" s="89" t="str">
        <x:v>priBd3 n=2; GCB n=1</x:v>
      </x:c>
      <x:c r="L8" s="89" t="str">
        <x:v>mm10</x:v>
      </x:c>
      <x:c r="M8" s="89" t="str">
        <x:v>mm39</x:v>
      </x:c>
      <x:c r="N8" s="89" t="str">
        <x:v>2 — conditional</x:v>
      </x:c>
      <x:c r="O8" s="89" t="str">
        <x:v>conditional</x:v>
      </x:c>
      <x:c r="P8" s="89" t="str">
        <x:v>Targeted immunoglobulin biology and Drosophila spike-in.</x:v>
      </x:c>
      <x:c r="Q8" s="89" t="str">
        <x:v>Sample accessions verified; experiment/run crosswalk unresolved.</x:v>
      </x:c>
      <x:c r="R8" s="90" t="str">
        <x:v>https://www.ncbi.nlm.nih.gov/geo/query/acc.cgi?acc=GSE202040</x:v>
      </x:c>
    </x:row>
    <x:row r="9" ht="54" customHeight="1">
      <x:c r="A9" s="89" t="str">
        <x:v>Kwak2013_dm_S2</x:v>
      </x:c>
      <x:c r="B9" s="89" t="str">
        <x:v>GSE42117</x:v>
      </x:c>
      <x:c r="C9" s="89" t="str">
        <x:v>PRJNA179188</x:v>
      </x:c>
      <x:c r="D9" s="89" t="str">
        <x:v>SRP017121</x:v>
      </x:c>
      <x:c r="E9" s="89" t="str">
        <x:v>Drosophila melanogaster</x:v>
      </x:c>
      <x:c r="F9" s="89" t="str">
        <x:v>S2 cells</x:v>
      </x:c>
      <x:c r="G9" s="89" t="str">
        <x:v>PRO-cap</x:v>
      </x:c>
      <x:c r="H9" s="89" t="str">
        <x:v>published</x:v>
      </x:c>
      <x:c r="I9" s="89" t="n">
        <x:f>COUNTIFS('Sample Manifest'!$A$6:$A$63,A9,'Sample Manifest'!$Y$6:$Y$63,"target")</x:f>
        <x:v>1</x:v>
      </x:c>
      <x:c r="J9" s="89" t="n">
        <x:f>COUNTIFS('Sample Manifest'!$A$6:$A$63,A9,'Sample Manifest'!$Y$6:$Y$63,"control")</x:f>
        <x:v>0</x:v>
      </x:c>
      <x:c r="K9" s="89" t="str">
        <x:v>single library</x:v>
      </x:c>
      <x:c r="L9" s="89" t="str">
        <x:v>dm5.22 / dm3-era</x:v>
      </x:c>
      <x:c r="M9" s="89" t="str">
        <x:v>dm6</x:v>
      </x:c>
      <x:c r="N9" s="89" t="str">
        <x:v>1 — core</x:v>
      </x:c>
      <x:c r="O9" s="89" t="str">
        <x:v>include</x:v>
      </x:c>
      <x:c r="P9" s="89" t="str">
        <x:v>Legacy archive uses SRZ-style analysis inventory.</x:v>
      </x:c>
      <x:c r="Q9" s="89" t="str">
        <x:v>DBNascent inventory: SRZ611829, SRR611828, SRR611831, SRR611832, SRR611833, SRZ611824; no per-sample assertion.</x:v>
      </x:c>
      <x:c r="R9" s="90" t="str">
        <x:v>https://www.ncbi.nlm.nih.gov/geo/query/acc.cgi?acc=GSE42117</x:v>
      </x:c>
    </x:row>
    <x:row r="10" ht="54" customHeight="1">
      <x:c r="A10" s="89" t="str">
        <x:v>Embryo_PROcap_dm</x:v>
      </x:c>
      <x:c r="B10" s="89" t="str">
        <x:v>E-MTAB-6154</x:v>
      </x:c>
      <x:c r="C10" s="89" t="str"/>
      <x:c r="D10" s="89" t="str"/>
      <x:c r="E10" s="89" t="str">
        <x:v>Drosophila melanogaster</x:v>
      </x:c>
      <x:c r="F10" s="89" t="str">
        <x:v>whole embryos</x:v>
      </x:c>
      <x:c r="G10" s="89" t="str">
        <x:v>PRO-cap</x:v>
      </x:c>
      <x:c r="H10" s="89" t="str">
        <x:v>published</x:v>
      </x:c>
      <x:c r="I10" s="89" t="n">
        <x:f>COUNTIFS('Sample Manifest'!$A$6:$A$63,A10,'Sample Manifest'!$Y$6:$Y$63,"target")</x:f>
        <x:v>2</x:v>
      </x:c>
      <x:c r="J10" s="89" t="n">
        <x:f>COUNTIFS('Sample Manifest'!$A$6:$A$63,A10,'Sample Manifest'!$Y$6:$Y$63,"control")</x:f>
        <x:v>0</x:v>
      </x:c>
      <x:c r="K10" s="89" t="str">
        <x:v>one sample per developmental window</x:v>
      </x:c>
      <x:c r="L10" s="89" t="str">
        <x:v>dm3</x:v>
      </x:c>
      <x:c r="M10" s="89" t="str">
        <x:v>dm6</x:v>
      </x:c>
      <x:c r="N10" s="89" t="str">
        <x:v>2 — conditional</x:v>
      </x:c>
      <x:c r="O10" s="89" t="str">
        <x:v>conditional</x:v>
      </x:c>
      <x:c r="P10" s="89" t="str">
        <x:v>Stable sample/run identifiers were not exposed by the accessible study page.</x:v>
      </x:c>
      <x:c r="Q10" s="89" t="str">
        <x:v>Resolve BioStudies assay/run table before scripted download.</x:v>
      </x:c>
      <x:c r="R10" s="90" t="str">
        <x:v>https://www.ebi.ac.uk/biostudies/arrayexpress/studies/E-MTAB-6154</x:v>
      </x:c>
    </x:row>
    <x:row r="11" ht="54" customHeight="1">
      <x:c r="A11" s="89" t="str">
        <x:v>LacZ_PROcap_dm</x:v>
      </x:c>
      <x:c r="B11" s="89" t="str">
        <x:v>GSE211397</x:v>
      </x:c>
      <x:c r="C11" s="89" t="str">
        <x:v>PRJNA870098</x:v>
      </x:c>
      <x:c r="D11" s="89" t="str"/>
      <x:c r="E11" s="89" t="str">
        <x:v>Drosophila melanogaster</x:v>
      </x:c>
      <x:c r="F11" s="89" t="str">
        <x:v>S2 cells</x:v>
      </x:c>
      <x:c r="G11" s="89" t="str">
        <x:v>PRO-cap</x:v>
      </x:c>
      <x:c r="H11" s="89" t="str">
        <x:v>published/public record</x:v>
      </x:c>
      <x:c r="I11" s="89" t="n">
        <x:f>COUNTIFS('Sample Manifest'!$A$6:$A$63,A11,'Sample Manifest'!$Y$6:$Y$63,"target")</x:f>
        <x:v>1</x:v>
      </x:c>
      <x:c r="J11" s="89" t="n">
        <x:f>COUNTIFS('Sample Manifest'!$A$6:$A$63,A11,'Sample Manifest'!$Y$6:$Y$63,"control")</x:f>
        <x:v>1</x:v>
      </x:c>
      <x:c r="K11" s="89" t="str">
        <x:v>TAP+ with matched TAP− protocol control</x:v>
      </x:c>
      <x:c r="L11" s="89" t="str">
        <x:v>dm6</x:v>
      </x:c>
      <x:c r="M11" s="89" t="str">
        <x:v>dm6</x:v>
      </x:c>
      <x:c r="N11" s="89" t="str">
        <x:v>1 — core</x:v>
      </x:c>
      <x:c r="O11" s="89" t="str">
        <x:v>include</x:v>
      </x:c>
      <x:c r="P11" s="89" t="str">
        <x:v>Mouse-MEF spike-in and TAP− negative control.</x:v>
      </x:c>
      <x:c r="Q11" s="89" t="str">
        <x:v>SRX17106104 verified for TAP+; TAP− run unresolved.</x:v>
      </x:c>
      <x:c r="R11" s="90" t="str">
        <x:v>https://www.ncbi.nlm.nih.gov/geo/query/acc.cgi?acc=GSE211397</x:v>
      </x:c>
    </x:row>
    <x:row r="12" ht="54" customHeight="1">
      <x:c r="A12" s="89" t="str">
        <x:v>Duttke2017_dm_S2</x:v>
      </x:c>
      <x:c r="B12" s="89" t="str">
        <x:v>GSE68677</x:v>
      </x:c>
      <x:c r="C12" s="89" t="str">
        <x:v>PRJNA284402</x:v>
      </x:c>
      <x:c r="D12" s="89" t="str">
        <x:v>SRP058504</x:v>
      </x:c>
      <x:c r="E12" s="89" t="str">
        <x:v>Drosophila melanogaster</x:v>
      </x:c>
      <x:c r="F12" s="89" t="str">
        <x:v>S2 cells</x:v>
      </x:c>
      <x:c r="G12" s="89" t="str">
        <x:v>5′GRO / GRO-cap</x:v>
      </x:c>
      <x:c r="H12" s="89" t="str">
        <x:v>unpublished public archive</x:v>
      </x:c>
      <x:c r="I12" s="89" t="n">
        <x:f>COUNTIFS('Sample Manifest'!$A$6:$A$63,A12,'Sample Manifest'!$Y$6:$Y$63,"target")</x:f>
        <x:v>2</x:v>
      </x:c>
      <x:c r="J12" s="89" t="n">
        <x:f>COUNTIFS('Sample Manifest'!$A$6:$A$63,A12,'Sample Manifest'!$Y$6:$Y$63,"control")</x:f>
        <x:v>0</x:v>
      </x:c>
      <x:c r="K12" s="89" t="str">
        <x:v>2 biological replicates</x:v>
      </x:c>
      <x:c r="L12" s="89" t="str">
        <x:v>dm3</x:v>
      </x:c>
      <x:c r="M12" s="89" t="str">
        <x:v>dm6</x:v>
      </x:c>
      <x:c r="N12" s="89" t="str">
        <x:v>2 — conditional</x:v>
      </x:c>
      <x:c r="O12" s="89" t="str">
        <x:v>conditional</x:v>
      </x:c>
      <x:c r="P12" s="89" t="str">
        <x:v>Unpublished; replicate-1 run unresolved.</x:v>
      </x:c>
      <x:c r="Q12" s="89" t="str">
        <x:v>SRR2033379 verified for replicate 2.</x:v>
      </x:c>
      <x:c r="R12" s="90" t="str">
        <x:v>https://www.ncbi.nlm.nih.gov/geo/query/acc.cgi?acc=GSE68677</x:v>
      </x:c>
    </x:row>
    <x:row r="13" ht="54" customHeight="1">
      <x:c r="A13" s="89" t="str">
        <x:v>Kruesi2013_ce_GROcap</x:v>
      </x:c>
      <x:c r="B13" s="89" t="str">
        <x:v>GSE43085</x:v>
      </x:c>
      <x:c r="C13" s="89" t="str">
        <x:v>PRJNA184363</x:v>
      </x:c>
      <x:c r="D13" s="89" t="str">
        <x:v>SRP017636</x:v>
      </x:c>
      <x:c r="E13" s="89" t="str">
        <x:v>Caenorhabditis elegans</x:v>
      </x:c>
      <x:c r="F13" s="89" t="str">
        <x:v>embryo, starved L1, L3</x:v>
      </x:c>
      <x:c r="G13" s="89" t="str">
        <x:v>GRO-cap</x:v>
      </x:c>
      <x:c r="H13" s="89" t="str">
        <x:v>published</x:v>
      </x:c>
      <x:c r="I13" s="89" t="n">
        <x:f>COUNTIFS('Sample Manifest'!$A$6:$A$63,A13,'Sample Manifest'!$Y$6:$Y$63,"target")</x:f>
        <x:v>4</x:v>
      </x:c>
      <x:c r="J13" s="89" t="n">
        <x:f>COUNTIFS('Sample Manifest'!$A$6:$A$63,A13,'Sample Manifest'!$Y$6:$Y$63,"control")</x:f>
        <x:v>4</x:v>
      </x:c>
      <x:c r="K13" s="89" t="str">
        <x:v>TAP+ and TAP− protocol pairs; no biological replicate per state</x:v>
      </x:c>
      <x:c r="L13" s="89" t="str">
        <x:v>WS230</x:v>
      </x:c>
      <x:c r="M13" s="89" t="str">
        <x:v>ce11 / WBcel235</x:v>
      </x:c>
      <x:c r="N13" s="89" t="str">
        <x:v>1 — core</x:v>
      </x:c>
      <x:c r="O13" s="89" t="str">
        <x:v>include</x:v>
      </x:c>
      <x:c r="P13" s="89" t="str">
        <x:v>Trans-splicing; TAP− rows are background controls only.</x:v>
      </x:c>
      <x:c r="Q13" s="89" t="str">
        <x:v>Project run inventory SRR639142–SRR639149; per-sample crosswalk not asserted.</x:v>
      </x:c>
      <x:c r="R13" s="90" t="str">
        <x:v>https://www.ncbi.nlm.nih.gov/geo/query/acc.cgi?acc=GSE43085</x:v>
      </x:c>
    </x:row>
    <x:row r="14" ht="54" customHeight="1">
      <x:c r="A14" s="89" t="str">
        <x:v>Booth2016_yeast_PROcap</x:v>
      </x:c>
      <x:c r="B14" s="89" t="str">
        <x:v>GSE76142</x:v>
      </x:c>
      <x:c r="C14" s="89" t="str">
        <x:v>PRJNA306424</x:v>
      </x:c>
      <x:c r="D14" s="89" t="str">
        <x:v>SRP067557</x:v>
      </x:c>
      <x:c r="E14" s="89" t="str">
        <x:v>S. cerevisiae; S. pombe</x:v>
      </x:c>
      <x:c r="F14" s="89" t="str">
        <x:v>wild-type yeast cultures</x:v>
      </x:c>
      <x:c r="G14" s="89" t="str">
        <x:v>PRO-cap</x:v>
      </x:c>
      <x:c r="H14" s="89" t="str">
        <x:v>published</x:v>
      </x:c>
      <x:c r="I14" s="89" t="n">
        <x:f>COUNTIFS('Sample Manifest'!$A$6:$A$63,A14,'Sample Manifest'!$Y$6:$Y$63,"target")</x:f>
        <x:v>2</x:v>
      </x:c>
      <x:c r="J14" s="89" t="n">
        <x:f>COUNTIFS('Sample Manifest'!$A$6:$A$63,A14,'Sample Manifest'!$Y$6:$Y$63,"control")</x:f>
        <x:v>0</x:v>
      </x:c>
      <x:c r="K14" s="89" t="str">
        <x:v>one GEO sample per species; TAP+/TAP− run bundle</x:v>
      </x:c>
      <x:c r="L14" s="89" t="str">
        <x:v>sacCer3; ASM294v2</x:v>
      </x:c>
      <x:c r="M14" s="89" t="str">
        <x:v>same/current PomBase</x:v>
      </x:c>
      <x:c r="N14" s="89" t="str">
        <x:v>2 — conditional</x:v>
      </x:c>
      <x:c r="O14" s="89" t="str">
        <x:v>conditional</x:v>
      </x:c>
      <x:c r="P14" s="89" t="str">
        <x:v>Run-level TAP+ versus TAP− split must be resolved.</x:v>
      </x:c>
      <x:c r="Q14" s="89" t="str">
        <x:v>Legacy SRZ inventory: SRZ3031846, SRZ3031844, SRZ3031840, SRZ3031842, SRZ3031836, SRZ3031838.</x:v>
      </x:c>
      <x:c r="R14" s="90" t="str">
        <x:v>https://www.ncbi.nlm.nih.gov/geo/query/acc.cgi?acc=GSE76142</x:v>
      </x:c>
    </x:row>
    <x:row r="15" ht="54" customHeight="1">
      <x:c r="A15" s="89" t="str">
        <x:v>Ino80_PROcap_sc</x:v>
      </x:c>
      <x:c r="B15" s="89" t="str">
        <x:v>GSE158622</x:v>
      </x:c>
      <x:c r="C15" s="89" t="str">
        <x:v>PRJNA665997</x:v>
      </x:c>
      <x:c r="D15" s="89" t="str">
        <x:v>SRP285540</x:v>
      </x:c>
      <x:c r="E15" s="89" t="str">
        <x:v>Saccharomyces cerevisiae</x:v>
      </x:c>
      <x:c r="F15" s="89" t="str">
        <x:v>yeast culture</x:v>
      </x:c>
      <x:c r="G15" s="89" t="str">
        <x:v>PRO-cap</x:v>
      </x:c>
      <x:c r="H15" s="89" t="str">
        <x:v>published</x:v>
      </x:c>
      <x:c r="I15" s="89" t="n">
        <x:f>COUNTIFS('Sample Manifest'!$A$6:$A$63,A15,'Sample Manifest'!$Y$6:$Y$63,"target")</x:f>
        <x:v>4</x:v>
      </x:c>
      <x:c r="J15" s="89" t="n">
        <x:f>COUNTIFS('Sample Manifest'!$A$6:$A$63,A15,'Sample Manifest'!$Y$6:$Y$63,"control")</x:f>
        <x:v>0</x:v>
      </x:c>
      <x:c r="K15" s="89" t="str">
        <x:v>2 control + 2 Ino80-depletion replicates</x:v>
      </x:c>
      <x:c r="L15" s="89" t="str">
        <x:v>sacCer3</x:v>
      </x:c>
      <x:c r="M15" s="89" t="str">
        <x:v>sacCer3</x:v>
      </x:c>
      <x:c r="N15" s="89" t="str">
        <x:v>1 — core controls</x:v>
      </x:c>
      <x:c r="O15" s="89" t="str">
        <x:v>include</x:v>
      </x:c>
      <x:c r="P15" s="89" t="str">
        <x:v>Perturbation samples should retain the Ino80 condition label.</x:v>
      </x:c>
      <x:c r="Q15" s="89" t="str">
        <x:v>Sample accessions verified; experiment/run crosswalk unresolved.</x:v>
      </x:c>
      <x:c r="R15" s="90" t="str">
        <x:v>https://www.ncbi.nlm.nih.gov/geo/query/acc.cgi?acc=GSE158622</x:v>
      </x:c>
    </x:row>
    <x:row r="16" ht="54" customHeight="1">
      <x:c r="A16" s="89" t="str">
        <x:v>Spt5_PROcap_sc</x:v>
      </x:c>
      <x:c r="B16" s="89" t="str">
        <x:v>GSE267734</x:v>
      </x:c>
      <x:c r="C16" s="89" t="str">
        <x:v>PRJNA1105209</x:v>
      </x:c>
      <x:c r="D16" s="89" t="str"/>
      <x:c r="E16" s="89" t="str">
        <x:v>Saccharomyces cerevisiae</x:v>
      </x:c>
      <x:c r="F16" s="89" t="str">
        <x:v>Spt5-AID yeast culture</x:v>
      </x:c>
      <x:c r="G16" s="89" t="str">
        <x:v>PRO-cap / CAP</x:v>
      </x:c>
      <x:c r="H16" s="89" t="str">
        <x:v>public study</x:v>
      </x:c>
      <x:c r="I16" s="89" t="n">
        <x:f>COUNTIFS('Sample Manifest'!$A$6:$A$63,A16,'Sample Manifest'!$Y$6:$Y$63,"target")</x:f>
        <x:v>6</x:v>
      </x:c>
      <x:c r="J16" s="89" t="n">
        <x:f>COUNTIFS('Sample Manifest'!$A$6:$A$63,A16,'Sample Manifest'!$Y$6:$Y$63,"control")</x:f>
        <x:v>0</x:v>
      </x:c>
      <x:c r="K16" s="89" t="str">
        <x:v>2 reps for EtOH, IAA 1 h, IAA 4 h</x:v>
      </x:c>
      <x:c r="L16" s="89" t="str">
        <x:v>sacCer3 + SpombeASMv2</x:v>
      </x:c>
      <x:c r="M16" s="89" t="str">
        <x:v>sacCer3</x:v>
      </x:c>
      <x:c r="N16" s="89" t="str">
        <x:v>1 — core controls</x:v>
      </x:c>
      <x:c r="O16" s="89" t="str">
        <x:v>include</x:v>
      </x:c>
      <x:c r="P16" s="89" t="str">
        <x:v>10-nt UMI in 3′ adaptor requires consistent preprocessing.</x:v>
      </x:c>
      <x:c r="Q16" s="89" t="str">
        <x:v>SRX24562536 verified for GSM8274825; other run mappings unresolved.</x:v>
      </x:c>
      <x:c r="R16" s="90" t="str">
        <x:v>https://www.ncbi.nlm.nih.gov/geo/query/acc.cgi?acc=GSE267734</x:v>
      </x:c>
    </x:row>
    <x:row r="17" ht="54" customHeight="1">
      <x:c r="A17" s="89" t="str">
        <x:v>Lam2013_mm_BMDM_5GRO</x:v>
      </x:c>
      <x:c r="B17" s="89" t="str">
        <x:v>GSE45914</x:v>
      </x:c>
      <x:c r="C17" s="89" t="str">
        <x:v>PRJNA196871</x:v>
      </x:c>
      <x:c r="D17" s="89" t="str">
        <x:v>SRP021025</x:v>
      </x:c>
      <x:c r="E17" s="89" t="str">
        <x:v>Mus musculus</x:v>
      </x:c>
      <x:c r="F17" s="89" t="str">
        <x:v>bone-marrow-derived macrophages</x:v>
      </x:c>
      <x:c r="G17" s="89" t="str">
        <x:v>5′GRO-seq</x:v>
      </x:c>
      <x:c r="H17" s="89" t="str">
        <x:v>published</x:v>
      </x:c>
      <x:c r="I17" s="89" t="n">
        <x:f>COUNTIFS('Sample Manifest'!$A$6:$A$63,A17,'Sample Manifest'!$Y$6:$Y$63,"target")</x:f>
        <x:v>2</x:v>
      </x:c>
      <x:c r="J17" s="89" t="n">
        <x:f>COUNTIFS('Sample Manifest'!$A$6:$A$63,A17,'Sample Manifest'!$Y$6:$Y$63,"control")</x:f>
        <x:v>0</x:v>
      </x:c>
      <x:c r="K17" s="89" t="str">
        <x:v>two conditions; not biological replicates</x:v>
      </x:c>
      <x:c r="L17" s="89" t="str">
        <x:v>mm9</x:v>
      </x:c>
      <x:c r="M17" s="89" t="str">
        <x:v>mm39</x:v>
      </x:c>
      <x:c r="N17" s="89" t="str">
        <x:v>2 — conditional</x:v>
      </x:c>
      <x:c r="O17" s="89" t="str">
        <x:v>conditional</x:v>
      </x:c>
      <x:c r="P17" s="89" t="str">
        <x:v>Close equivalent, not canonical GRO-cap; conditions differ.</x:v>
      </x:c>
      <x:c r="Q17" s="89" t="str">
        <x:v>Project inventory includes SRR826227 and legacy SRZ accessions; no sample crosswalk asserted.</x:v>
      </x:c>
      <x:c r="R17" s="90" t="str">
        <x:v>https://www.ncbi.nlm.nih.gov/geo/query/acc.cgi?acc=GSE45914</x:v>
      </x:c>
    </x:row>
    <x:row r="18" ht="54" customHeight="1">
      <x:c r="A18" s="89" t="str">
        <x:v>Hetzel2016_at_5GRO</x:v>
      </x:c>
      <x:c r="B18" s="89" t="str">
        <x:v>GSE83108</x:v>
      </x:c>
      <x:c r="C18" s="89" t="str">
        <x:v>PRJNA324774</x:v>
      </x:c>
      <x:c r="D18" s="89" t="str">
        <x:v>SRP076266</x:v>
      </x:c>
      <x:c r="E18" s="89" t="str">
        <x:v>Arabidopsis thaliana</x:v>
      </x:c>
      <x:c r="F18" s="89" t="str">
        <x:v>6-day Col-0 seedlings</x:v>
      </x:c>
      <x:c r="G18" s="89" t="str">
        <x:v>5′GRO-seq</x:v>
      </x:c>
      <x:c r="H18" s="89" t="str">
        <x:v>published</x:v>
      </x:c>
      <x:c r="I18" s="89" t="n">
        <x:f>COUNTIFS('Sample Manifest'!$A$6:$A$63,A18,'Sample Manifest'!$Y$6:$Y$63,"target")</x:f>
        <x:v>1</x:v>
      </x:c>
      <x:c r="J18" s="89" t="n">
        <x:f>COUNTIFS('Sample Manifest'!$A$6:$A$63,A18,'Sample Manifest'!$Y$6:$Y$63,"control")</x:f>
        <x:v>0</x:v>
      </x:c>
      <x:c r="K18" s="89" t="str">
        <x:v>single sample</x:v>
      </x:c>
      <x:c r="L18" s="89" t="str">
        <x:v>TAIR10</x:v>
      </x:c>
      <x:c r="M18" s="89" t="str">
        <x:v>TAIR10</x:v>
      </x:c>
      <x:c r="N18" s="89" t="str">
        <x:v>2 — conditional</x:v>
      </x:c>
      <x:c r="O18" s="89" t="str">
        <x:v>conditional</x:v>
      </x:c>
      <x:c r="P18" s="89" t="str">
        <x:v>Single sample; RppH-based 5′ capture is a close equivalent.</x:v>
      </x:c>
      <x:c r="Q18" s="89" t="str">
        <x:v>SRX1830040 verified; run unresolved.</x:v>
      </x:c>
      <x:c r="R18" s="90" t="str">
        <x:v>https://www.ncbi.nlm.nih.gov/geo/query/acc.cgi?acc=GSE83108</x:v>
      </x:c>
    </x:row>
    <x:row r="19" ht="54" customHeight="1">
      <x:c r="A19" s="89" t="str">
        <x:v>Link2018_mm_BMDM_GROcap</x:v>
      </x:c>
      <x:c r="B19" s="89" t="str">
        <x:v>GSE109965</x:v>
      </x:c>
      <x:c r="C19" s="89" t="str"/>
      <x:c r="D19" s="89" t="str">
        <x:v>SRP131922</x:v>
      </x:c>
      <x:c r="E19" s="89" t="str">
        <x:v>Mus musculus</x:v>
      </x:c>
      <x:c r="F19" s="89" t="str">
        <x:v>bone-marrow-derived macrophages</x:v>
      </x:c>
      <x:c r="G19" s="89" t="str">
        <x:v>GRO-cap</x:v>
      </x:c>
      <x:c r="H19" s="89" t="str">
        <x:v>published</x:v>
      </x:c>
      <x:c r="I19" s="89" t="n">
        <x:f>COUNTIFS('Sample Manifest'!$A$6:$A$63,A19,'Sample Manifest'!$Y$6:$Y$63,"target")</x:f>
        <x:v>1</x:v>
      </x:c>
      <x:c r="J19" s="89" t="n">
        <x:f>COUNTIFS('Sample Manifest'!$A$6:$A$63,A19,'Sample Manifest'!$Y$6:$Y$63,"control")</x:f>
        <x:v>0</x:v>
      </x:c>
      <x:c r="K19" s="89" t="str">
        <x:v>replicate 2 verified; replicate 1 unresolved</x:v>
      </x:c>
      <x:c r="L19" s="89" t="str">
        <x:v>mm10</x:v>
      </x:c>
      <x:c r="M19" s="89" t="str">
        <x:v>mm39</x:v>
      </x:c>
      <x:c r="N19" s="89" t="str">
        <x:v>2 — conditional</x:v>
      </x:c>
      <x:c r="O19" s="89" t="str">
        <x:v>conditional</x:v>
      </x:c>
      <x:c r="P19" s="89" t="str">
        <x:v>Exact GEO sample/strain crosswalk and replicate 1 still need resolution.</x:v>
      </x:c>
      <x:c r="Q19" s="89" t="str">
        <x:v>SRR6660402 verified (single-end, forward, replicate 2).</x:v>
      </x:c>
      <x:c r="R19" s="90" t="str">
        <x:v>https://www.ncbi.nlm.nih.gov/geo/query/acc.cgi?acc=GSE109965</x:v>
      </x:c>
    </x:row>
    <x:row r="20" ht="43.5" customHeight="1">
      <x:c r="A20" s="92" t="str">
        <x:v>Shamie2021_cg_5GRO</x:v>
      </x:c>
      <x:c r="B20" s="92" t="str">
        <x:v>GSE159044</x:v>
      </x:c>
      <x:c r="C20" s="92"/>
      <x:c r="D20" s="92"/>
      <x:c r="E20" s="92" t="str">
        <x:v>Cricetulus griseus</x:v>
      </x:c>
      <x:c r="F20" s="92" t="str">
        <x:v>CHO-K1; BMDMs; brain, kidney, liver, lung</x:v>
      </x:c>
      <x:c r="G20" s="92" t="str">
        <x:v>5′GRO-seq / GRO-cap</x:v>
      </x:c>
      <x:c r="H20" s="92" t="str">
        <x:v>published</x:v>
      </x:c>
      <x:c r="I20" s="92" t="n">
        <x:f>COUNTIFS('Sample Manifest'!$A$6:$A$63,A20,'Sample Manifest'!$Y$6:$Y$63,"target")</x:f>
        <x:v>8</x:v>
      </x:c>
      <x:c r="J20" s="92" t="n">
        <x:f>COUNTIFS('Sample Manifest'!$A$6:$A$63,A20,'Sample Manifest'!$Y$6:$Y$63,"control")</x:f>
        <x:v>0</x:v>
      </x:c>
      <x:c r="K20" s="92" t="str">
        <x:v>CHO n=2; other cap-positive biosamples n=1</x:v>
      </x:c>
      <x:c r="L20" s="92" t="str">
        <x:v>PICR / GCF_003668045.1</x:v>
      </x:c>
      <x:c r="M20" s="92" t="str">
        <x:v>CriGri-PICRH-1.0 / GCF_003668045.3</x:v>
      </x:c>
      <x:c r="N20" s="92" t="str">
        <x:v>2 — conditional</x:v>
      </x:c>
      <x:c r="O20" s="94" t="str">
        <x:v>conditional</x:v>
      </x:c>
      <x:c r="P20" s="92" t="str">
        <x:v>Sparse replication outside CHO. Matched ordinary GRO-seq libraries are background/input controls, not cap-positive targets.</x:v>
      </x:c>
      <x:c r="Q20" s="92" t="str">
        <x:v>GSM4818113–GSM4818120 verified; experiment/run crosswalk unresolved. Promoted from Edge Cases after protocol-level cap-selection verification.</x:v>
      </x:c>
      <x:c r="R20" s="92" t="str">
        <x:v>https://www.ncbi.nlm.nih.gov/geo/query/acc.cgi?acc=GSE159044</x:v>
      </x:c>
    </x:row>
    <x:row r="21" ht="43.5" customHeight="1">
      <x:c r="A21" s="92" t="str">
        <x:v>McDonald2024_plant_5GRO</x:v>
      </x:c>
      <x:c r="B21" s="92" t="str">
        <x:v>GSE233927</x:v>
      </x:c>
      <x:c r="C21" s="92" t="str">
        <x:v>PRJNA978596</x:v>
      </x:c>
      <x:c r="D21" s="92"/>
      <x:c r="E21" s="92" t="str">
        <x:v>Chlamydomonas reinhardtii; Physcomitrium patens; Selaginella moellendorffii</x:v>
      </x:c>
      <x:c r="F21" s="92" t="str">
        <x:v>liquid culture; plate culture; stems and leaves</x:v>
      </x:c>
      <x:c r="G21" s="92" t="str">
        <x:v>5′GRO-seq</x:v>
      </x:c>
      <x:c r="H21" s="92" t="str">
        <x:v>published</x:v>
      </x:c>
      <x:c r="I21" s="92" t="n">
        <x:f>COUNTIFS('Sample Manifest'!$A$6:$A$63,A21,'Sample Manifest'!$Y$6:$Y$63,"target")</x:f>
        <x:v>4</x:v>
      </x:c>
      <x:c r="J21" s="92" t="n">
        <x:f>COUNTIFS('Sample Manifest'!$A$6:$A$63,A21,'Sample Manifest'!$Y$6:$Y$63,"control")</x:f>
        <x:v>0</x:v>
      </x:c>
      <x:c r="K21" s="92" t="str">
        <x:v>C. reinhardtii n=2; P. patens n=1; S. moellendorffii n=1</x:v>
      </x:c>
      <x:c r="L21" s="92" t="str">
        <x:v>Chlamydomonas v5.5; Phypa V3; Selaginella v1.0</x:v>
      </x:c>
      <x:c r="M21" s="92" t="str">
        <x:v>same study assemblies; reassess before cross-study alignment</x:v>
      </x:c>
      <x:c r="N21" s="92" t="str">
        <x:v>2 — conditional</x:v>
      </x:c>
      <x:c r="O21" s="94" t="str">
        <x:v>conditional</x:v>
      </x:c>
      <x:c r="P21" s="92" t="str">
        <x:v>Authors note variable 5′GRO quality and replication is sparse. Matched ordinary GRO tracks are inputs, not cap-positive targets.</x:v>
      </x:c>
      <x:c r="Q21" s="92" t="str">
        <x:v>GSM7439223, GSM7439224, GSM7439241, GSM7439248 verified; SRX20570355, SRX20570372, and SRX20570379 resolved.</x:v>
      </x:c>
      <x:c r="R21" s="92" t="str">
        <x:v>https://www.ncbi.nlm.nih.gov/geo/query/acc.cgi?acc=GSE233927</x:v>
      </x:c>
    </x:row>
    <x:row r="22" ht="43.5" customHeight="1">
      <x:c r="A22" s="92" t="str">
        <x:v>Tome2018_mm_CoPRO</x:v>
      </x:c>
      <x:c r="B22" s="92" t="str">
        <x:v>GSE116472</x:v>
      </x:c>
      <x:c r="C22" s="92" t="str">
        <x:v>PRJNA478717</x:v>
      </x:c>
      <x:c r="D22" s="92" t="str">
        <x:v>SRP151707</x:v>
      </x:c>
      <x:c r="E22" s="92" t="str">
        <x:v>Mus musculus</x:v>
      </x:c>
      <x:c r="F22" s="92" t="str">
        <x:v>mouse embryonic fibroblasts</x:v>
      </x:c>
      <x:c r="G22" s="92" t="str">
        <x:v>CoPRO capped fraction</x:v>
      </x:c>
      <x:c r="H22" s="92" t="str">
        <x:v>published</x:v>
      </x:c>
      <x:c r="I22" s="92" t="n">
        <x:f>COUNTIFS('Sample Manifest'!$A$6:$A$63,A22,'Sample Manifest'!$Y$6:$Y$63,"target")</x:f>
        <x:v>2</x:v>
      </x:c>
      <x:c r="J22" s="92" t="n">
        <x:f>COUNTIFS('Sample Manifest'!$A$6:$A$63,A22,'Sample Manifest'!$Y$6:$Y$63,"control")</x:f>
        <x:v>0</x:v>
      </x:c>
      <x:c r="K22" s="92" t="str">
        <x:v>one capped library per heat-shock condition</x:v>
      </x:c>
      <x:c r="L22" s="92" t="str">
        <x:v>GEO lists hg19; inconsistent with Mus musculus</x:v>
      </x:c>
      <x:c r="M22" s="92" t="str">
        <x:v>mm39</x:v>
      </x:c>
      <x:c r="N22" s="92" t="str">
        <x:v>2 — conditional</x:v>
      </x:c>
      <x:c r="O22" s="94" t="str">
        <x:v>conditional</x:v>
      </x:c>
      <x:c r="P22" s="92" t="str">
        <x:v>One library per condition; paired-end CoPRO is a derivative rather than canonical PRO-cap. Drosophila S2 spike-in; deposited build metadata are inconsistent.</x:v>
      </x:c>
      <x:c r="Q22" s="92" t="str">
        <x:v>GSM3239707/SRX4328906 and GSM3239708/SRX4328907 verified; run crosswalk unresolved. Promoted from Edge Cases after enzymatic cap-state selection was confirmed.</x:v>
      </x:c>
      <x:c r="R22" s="92" t="str">
        <x:v>https://www.ncbi.nlm.nih.gov/geo/query/acc.cgi?acc=GSE116472</x:v>
      </x:c>
    </x:row>
  </x:sheetData>
  <x:mergeCells>
    <x:mergeCell ref="A1:R2"/>
    <x:mergeCell ref="A3:R3"/>
  </x:mergeCells>
  <x:conditionalFormatting sqref="O6:O19">
    <x:cfRule type="containsText" dxfId="0" priority="1" operator="containsText" text="include"/>
    <x:cfRule type="containsText" dxfId="1" priority="2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feee9ebcea664e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6" hidden="0" customWidth="1"/>
    <x:col min="4" max="4" width="14" hidden="0" customWidth="1"/>
    <x:col min="5" max="5" width="18" hidden="0" customWidth="1"/>
    <x:col min="6" max="6" width="31" hidden="0" customWidth="1"/>
    <x:col min="7" max="7" width="16" hidden="0" customWidth="1"/>
    <x:col min="8" max="8" width="16" hidden="0" customWidth="1"/>
    <x:col min="9" max="9" width="25" hidden="0" customWidth="1"/>
    <x:col min="10" max="10" width="28" hidden="0" customWidth="1"/>
    <x:col min="11" max="11" width="27" hidden="0" customWidth="1"/>
    <x:col min="12" max="12" width="24" hidden="0" customWidth="1"/>
    <x:col min="13" max="13" width="16" hidden="0" customWidth="1"/>
    <x:col min="14" max="14" width="25" hidden="0" customWidth="1"/>
    <x:col min="15" max="15" width="22" hidden="0" customWidth="1"/>
    <x:col min="16" max="16" width="24" hidden="0" customWidth="1"/>
    <x:col min="17" max="17" width="12" hidden="0" customWidth="1"/>
    <x:col min="18" max="18" width="24" hidden="0" customWidth="1"/>
    <x:col min="19" max="19" width="25" hidden="0" customWidth="1"/>
    <x:col min="20" max="20" width="52" hidden="0" customWidth="1"/>
    <x:col min="21" max="21" width="58" hidden="0" customWidth="1"/>
    <x:col min="22" max="22" width="23" hidden="0" customWidth="1"/>
    <x:col min="23" max="23" width="25" hidden="0" customWidth="1"/>
    <x:col min="24" max="24" width="28" hidden="0" customWidth="1"/>
    <x:col min="25" max="25" width="13" hidden="0" customWidth="1"/>
    <x:col min="26" max="26" width="14" hidden="0" customWidth="1"/>
    <x:col min="27" max="27" width="40" hidden="0" customWidth="1"/>
    <x:col min="28" max="28" width="58" hidden="0" customWidth="1"/>
    <x:col min="29" max="29" width="42" hidden="0" customWidth="1"/>
  </x:cols>
  <x:sheetData>
    <x:row r="1" ht="24" customHeight="1">
      <x:c r="A1" s="60" t="str">
        <x:v>Sample Manifest</x:v>
      </x:c>
      <x:c r="B1" s="60" t="str">
        <x:v>Sample Manifest</x:v>
      </x:c>
      <x:c r="C1" s="60" t="str">
        <x:v>Sample Manifest</x:v>
      </x:c>
      <x:c r="D1" s="60" t="str">
        <x:v>Sample Manifest</x:v>
      </x:c>
      <x:c r="E1" s="60" t="str">
        <x:v>Sample Manifest</x:v>
      </x:c>
      <x:c r="F1" s="60" t="str">
        <x:v>Sample Manifest</x:v>
      </x:c>
      <x:c r="G1" s="60" t="str">
        <x:v>Sample Manifest</x:v>
      </x:c>
      <x:c r="H1" s="60" t="str">
        <x:v>Sample Manifest</x:v>
      </x:c>
      <x:c r="I1" s="60" t="str">
        <x:v>Sample Manifest</x:v>
      </x:c>
      <x:c r="J1" s="60" t="str">
        <x:v>Sample Manifest</x:v>
      </x:c>
      <x:c r="K1" s="60" t="str">
        <x:v>Sample Manifest</x:v>
      </x:c>
      <x:c r="L1" s="60" t="str">
        <x:v>Sample Manifest</x:v>
      </x:c>
      <x:c r="M1" s="60" t="str">
        <x:v>Sample Manifest</x:v>
      </x:c>
      <x:c r="N1" s="60" t="str">
        <x:v>Sample Manifest</x:v>
      </x:c>
      <x:c r="O1" s="60" t="str">
        <x:v>Sample Manifest</x:v>
      </x:c>
      <x:c r="P1" s="60" t="str">
        <x:v>Sample Manifest</x:v>
      </x:c>
      <x:c r="Q1" s="60" t="str">
        <x:v>Sample Manifest</x:v>
      </x:c>
      <x:c r="R1" s="60" t="str">
        <x:v>Sample Manifest</x:v>
      </x:c>
      <x:c r="S1" s="60" t="str">
        <x:v>Sample Manifest</x:v>
      </x:c>
      <x:c r="T1" s="60" t="str">
        <x:v>Sample Manifest</x:v>
      </x:c>
      <x:c r="U1" s="60" t="str">
        <x:v>Sample Manifest</x:v>
      </x:c>
      <x:c r="V1" s="60" t="str">
        <x:v>Sample Manifest</x:v>
      </x:c>
      <x:c r="W1" s="60" t="str">
        <x:v>Sample Manifest</x:v>
      </x:c>
      <x:c r="X1" s="60" t="str">
        <x:v>Sample Manifest</x:v>
      </x:c>
      <x:c r="Y1" s="60" t="str">
        <x:v>Sample Manifest</x:v>
      </x:c>
      <x:c r="Z1" s="60" t="str">
        <x:v>Sample Manifest</x:v>
      </x:c>
      <x:c r="AA1" s="60" t="str">
        <x:v>Sample Manifest</x:v>
      </x:c>
      <x:c r="AB1" s="60" t="str">
        <x:v>Sample Manifest</x:v>
      </x:c>
      <x:c r="AC1" s="60" t="str">
        <x:v>Sample Manifest</x:v>
      </x:c>
    </x:row>
    <x:row r="2" ht="24" customHeight="1">
      <x:c r="A2" s="60" t="str">
        <x:v>Sample Manifest</x:v>
      </x:c>
      <x:c r="B2" s="60" t="str">
        <x:v>Sample Manifest</x:v>
      </x:c>
      <x:c r="C2" s="60" t="str">
        <x:v>Sample Manifest</x:v>
      </x:c>
      <x:c r="D2" s="60" t="str">
        <x:v>Sample Manifest</x:v>
      </x:c>
      <x:c r="E2" s="60" t="str">
        <x:v>Sample Manifest</x:v>
      </x:c>
      <x:c r="F2" s="60" t="str">
        <x:v>Sample Manifest</x:v>
      </x:c>
      <x:c r="G2" s="60" t="str">
        <x:v>Sample Manifest</x:v>
      </x:c>
      <x:c r="H2" s="60" t="str">
        <x:v>Sample Manifest</x:v>
      </x:c>
      <x:c r="I2" s="60" t="str">
        <x:v>Sample Manifest</x:v>
      </x:c>
      <x:c r="J2" s="60" t="str">
        <x:v>Sample Manifest</x:v>
      </x:c>
      <x:c r="K2" s="60" t="str">
        <x:v>Sample Manifest</x:v>
      </x:c>
      <x:c r="L2" s="60" t="str">
        <x:v>Sample Manifest</x:v>
      </x:c>
      <x:c r="M2" s="60" t="str">
        <x:v>Sample Manifest</x:v>
      </x:c>
      <x:c r="N2" s="60" t="str">
        <x:v>Sample Manifest</x:v>
      </x:c>
      <x:c r="O2" s="60" t="str">
        <x:v>Sample Manifest</x:v>
      </x:c>
      <x:c r="P2" s="60" t="str">
        <x:v>Sample Manifest</x:v>
      </x:c>
      <x:c r="Q2" s="60" t="str">
        <x:v>Sample Manifest</x:v>
      </x:c>
      <x:c r="R2" s="60" t="str">
        <x:v>Sample Manifest</x:v>
      </x:c>
      <x:c r="S2" s="60" t="str">
        <x:v>Sample Manifest</x:v>
      </x:c>
      <x:c r="T2" s="60" t="str">
        <x:v>Sample Manifest</x:v>
      </x:c>
      <x:c r="U2" s="60" t="str">
        <x:v>Sample Manifest</x:v>
      </x:c>
      <x:c r="V2" s="60" t="str">
        <x:v>Sample Manifest</x:v>
      </x:c>
      <x:c r="W2" s="60" t="str">
        <x:v>Sample Manifest</x:v>
      </x:c>
      <x:c r="X2" s="60" t="str">
        <x:v>Sample Manifest</x:v>
      </x:c>
      <x:c r="Y2" s="60" t="str">
        <x:v>Sample Manifest</x:v>
      </x:c>
      <x:c r="Z2" s="60" t="str">
        <x:v>Sample Manifest</x:v>
      </x:c>
      <x:c r="AA2" s="60" t="str">
        <x:v>Sample Manifest</x:v>
      </x:c>
      <x:c r="AB2" s="60" t="str">
        <x:v>Sample Manifest</x:v>
      </x:c>
      <x:c r="AC2" s="60" t="str">
        <x:v>Sample Manifest</x:v>
      </x:c>
    </x:row>
    <x:row r="3" ht="24" customHeight="1">
      <x:c r="A3" s="61" t="str">
        <x:v>One row per sample/library record. Blank archive fields are intentional; see archive_mapping_status and README.</x:v>
      </x:c>
      <x:c r="B3" s="61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1"/>
      <x:c r="P3" s="61"/>
      <x:c r="Q3" s="61"/>
      <x:c r="R3" s="61"/>
      <x:c r="S3" s="61"/>
      <x:c r="T3" s="61"/>
      <x:c r="U3" s="61"/>
      <x:c r="V3" s="61"/>
      <x:c r="W3" s="61"/>
      <x:c r="X3" s="61"/>
      <x:c r="Y3" s="61"/>
      <x:c r="Z3" s="61"/>
      <x:c r="AA3" s="61"/>
      <x:c r="AB3" s="61"/>
      <x:c r="AC3" s="61"/>
    </x:row>
    <x:row r="4">
      <x:c r="A4" s="62"/>
      <x:c r="B4" s="62"/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  <x:c r="AA4" s="62"/>
      <x:c r="AB4" s="62"/>
      <x:c r="AC4" s="62"/>
    </x:row>
    <x:row r="5">
      <x:c r="A5" s="88" t="str">
        <x:v>project_key</x:v>
      </x:c>
      <x:c r="B5" s="88" t="str">
        <x:v>study_accession</x:v>
      </x:c>
      <x:c r="C5" s="88" t="str">
        <x:v>bioproject</x:v>
      </x:c>
      <x:c r="D5" s="88" t="str">
        <x:v>sra_study</x:v>
      </x:c>
      <x:c r="E5" s="88" t="str">
        <x:v>sample_accession</x:v>
      </x:c>
      <x:c r="F5" s="88" t="str">
        <x:v>sample_name</x:v>
      </x:c>
      <x:c r="G5" s="88" t="str">
        <x:v>sra_experiment</x:v>
      </x:c>
      <x:c r="H5" s="88" t="str">
        <x:v>run_accession</x:v>
      </x:c>
      <x:c r="I5" s="88" t="str">
        <x:v>organism</x:v>
      </x:c>
      <x:c r="J5" s="88" t="str">
        <x:v>biological_material</x:v>
      </x:c>
      <x:c r="K5" s="88" t="str">
        <x:v>condition</x:v>
      </x:c>
      <x:c r="L5" s="88" t="str">
        <x:v>developmental_stage_age</x:v>
      </x:c>
      <x:c r="M5" s="88" t="str">
        <x:v>sex</x:v>
      </x:c>
      <x:c r="N5" s="88" t="str">
        <x:v>assay_label</x:v>
      </x:c>
      <x:c r="O5" s="88" t="str">
        <x:v>assay_family</x:v>
      </x:c>
      <x:c r="P5" s="88" t="str">
        <x:v>cap_status</x:v>
      </x:c>
      <x:c r="Q5" s="88" t="str">
        <x:v>biological_replicate</x:v>
      </x:c>
      <x:c r="R5" s="88" t="str">
        <x:v>replicate_group</x:v>
      </x:c>
      <x:c r="S5" s="88" t="str">
        <x:v>library_layout</x:v>
      </x:c>
      <x:c r="T5" s="88" t="str">
        <x:v>raw_fastq_url</x:v>
      </x:c>
      <x:c r="U5" s="88" t="str">
        <x:v>archive_fastq_lookup_url</x:v>
      </x:c>
      <x:c r="V5" s="88" t="str">
        <x:v>deposited_processed_assembly</x:v>
      </x:c>
      <x:c r="W5" s="88" t="str">
        <x:v>recommended_realign_assembly</x:v>
      </x:c>
      <x:c r="X5" s="88" t="str">
        <x:v>spike_in</x:v>
      </x:c>
      <x:c r="Y5" s="88" t="str">
        <x:v>target_use</x:v>
      </x:c>
      <x:c r="Z5" s="88" t="str">
        <x:v>default_include</x:v>
      </x:c>
      <x:c r="AA5" s="88" t="str">
        <x:v>archive_mapping_status</x:v>
      </x:c>
      <x:c r="AB5" s="88" t="str">
        <x:v>notes</x:v>
      </x:c>
      <x:c r="AC5" s="88" t="str">
        <x:v>source_url</x:v>
      </x:c>
    </x:row>
    <x:row r="6" ht="63" customHeight="1">
      <x:c r="A6" s="89" t="str">
        <x:v>Kim2018_mm_ESC_BMDM</x:v>
      </x:c>
      <x:c r="B6" s="89" t="str">
        <x:v>GSE81677</x:v>
      </x:c>
      <x:c r="C6" s="89" t="str">
        <x:v>PRJNA322299</x:v>
      </x:c>
      <x:c r="D6" s="89" t="str">
        <x:v>SRP075469</x:v>
      </x:c>
      <x:c r="E6" s="89" t="str">
        <x:v>GSM2170014</x:v>
      </x:c>
      <x:c r="F6" s="89" t="str">
        <x:v>Pro-cap ESC</x:v>
      </x:c>
      <x:c r="G6" s="89" t="str">
        <x:v>SRX1781901</x:v>
      </x:c>
      <x:c r="H6" s="89" t="str"/>
      <x:c r="I6" s="89" t="str">
        <x:v>Mus musculus</x:v>
      </x:c>
      <x:c r="J6" s="89" t="str">
        <x:v>embryonic stem cells</x:v>
      </x:c>
      <x:c r="K6" s="89" t="str">
        <x:v>untreated</x:v>
      </x:c>
      <x:c r="L6" s="89" t="str">
        <x:v>cell culture</x:v>
      </x:c>
      <x:c r="M6" s="89" t="str">
        <x:v>not reported</x:v>
      </x:c>
      <x:c r="N6" s="89" t="str">
        <x:v>PRO-cap</x:v>
      </x:c>
      <x:c r="O6" s="89" t="str">
        <x:v>PRO-cap</x:v>
      </x:c>
      <x:c r="P6" s="89" t="str">
        <x:v>cap-selected target</x:v>
      </x:c>
      <x:c r="Q6" s="89" t="n">
        <x:v>1</x:v>
      </x:c>
      <x:c r="R6" s="89" t="str">
        <x:v>ESC untreated</x:v>
      </x:c>
      <x:c r="S6" s="89" t="str">
        <x:v>single-end (reported; recheck run)</x:v>
      </x:c>
      <x:c r="T6" s="90" t="str"/>
      <x:c r="U6" s="90" t="str">
        <x:v>https://www.ebi.ac.uk/ena/portal/api/filereport?accession=SRX1781901&amp;result=read_run&amp;fields=run_accession,library_layout,fastq_ftp,fastq_md5&amp;format=tsv</x:v>
      </x:c>
      <x:c r="V6" s="89" t="str">
        <x:v>mm9</x:v>
      </x:c>
      <x:c r="W6" s="89" t="str">
        <x:v>mm39</x:v>
      </x:c>
      <x:c r="X6" s="89" t="str">
        <x:v>none reported</x:v>
      </x:c>
      <x:c r="Y6" s="89" t="str">
        <x:v>target</x:v>
      </x:c>
      <x:c r="Z6" s="89" t="str">
        <x:v>include</x:v>
      </x:c>
      <x:c r="AA6" s="89" t="str">
        <x:v>sample + experiment verified; run unresolved</x:v>
      </x:c>
      <x:c r="AB6" s="89" t="str">
        <x:v>One deposited library; no independent biological replicate. Re-align raw reads for a current-build model.</x:v>
      </x:c>
      <x:c r="AC6" s="90" t="str">
        <x:v>https://www.ncbi.nlm.nih.gov/geo/query/acc.cgi?acc=GSM2170014</x:v>
      </x:c>
    </x:row>
    <x:row r="7" ht="63" customHeight="1">
      <x:c r="A7" s="89" t="str">
        <x:v>Kim2018_mm_ESC_BMDM</x:v>
      </x:c>
      <x:c r="B7" s="89" t="str">
        <x:v>GSE81677</x:v>
      </x:c>
      <x:c r="C7" s="89" t="str">
        <x:v>PRJNA322299</x:v>
      </x:c>
      <x:c r="D7" s="89" t="str">
        <x:v>SRP075469</x:v>
      </x:c>
      <x:c r="E7" s="89" t="str">
        <x:v>GSM2170016</x:v>
      </x:c>
      <x:c r="F7" s="89" t="str">
        <x:v>Pro-cap Macrophage</x:v>
      </x:c>
      <x:c r="G7" s="89" t="str">
        <x:v>SRX1781902</x:v>
      </x:c>
      <x:c r="H7" s="89" t="str"/>
      <x:c r="I7" s="89" t="str">
        <x:v>Mus musculus</x:v>
      </x:c>
      <x:c r="J7" s="89" t="str">
        <x:v>macrophages</x:v>
      </x:c>
      <x:c r="K7" s="89" t="str">
        <x:v>untreated</x:v>
      </x:c>
      <x:c r="L7" s="89" t="str">
        <x:v>cell culture</x:v>
      </x:c>
      <x:c r="M7" s="89" t="str">
        <x:v>not reported</x:v>
      </x:c>
      <x:c r="N7" s="89" t="str">
        <x:v>PRO-cap</x:v>
      </x:c>
      <x:c r="O7" s="89" t="str">
        <x:v>PRO-cap</x:v>
      </x:c>
      <x:c r="P7" s="89" t="str">
        <x:v>cap-selected target</x:v>
      </x:c>
      <x:c r="Q7" s="89" t="n">
        <x:v>1</x:v>
      </x:c>
      <x:c r="R7" s="89" t="str">
        <x:v>macrophage untreated</x:v>
      </x:c>
      <x:c r="S7" s="89" t="str">
        <x:v>single-end (reported; recheck run)</x:v>
      </x:c>
      <x:c r="T7" s="90" t="str"/>
      <x:c r="U7" s="90" t="str">
        <x:v>https://www.ebi.ac.uk/ena/portal/api/filereport?accession=SRX1781902&amp;result=read_run&amp;fields=run_accession,library_layout,fastq_ftp,fastq_md5&amp;format=tsv</x:v>
      </x:c>
      <x:c r="V7" s="89" t="str">
        <x:v>mm9</x:v>
      </x:c>
      <x:c r="W7" s="89" t="str">
        <x:v>mm39</x:v>
      </x:c>
      <x:c r="X7" s="89" t="str">
        <x:v>none reported</x:v>
      </x:c>
      <x:c r="Y7" s="89" t="str">
        <x:v>target</x:v>
      </x:c>
      <x:c r="Z7" s="89" t="str">
        <x:v>include</x:v>
      </x:c>
      <x:c r="AA7" s="89" t="str">
        <x:v>sample + experiment verified; run unresolved</x:v>
      </x:c>
      <x:c r="AB7" s="89" t="str">
        <x:v>One deposited library; no independent biological replicate.</x:v>
      </x:c>
      <x:c r="AC7" s="90" t="str">
        <x:v>https://www.ncbi.nlm.nih.gov/geo/query/acc.cgi?acc=GSM2170016</x:v>
      </x:c>
    </x:row>
    <x:row r="8" ht="63" customHeight="1">
      <x:c r="A8" s="89" t="str">
        <x:v>Liver_ChROcap_mm</x:v>
      </x:c>
      <x:c r="B8" s="89" t="str">
        <x:v>GSE156828</x:v>
      </x:c>
      <x:c r="C8" s="89" t="str">
        <x:v>PRJNA659369</x:v>
      </x:c>
      <x:c r="D8" s="89" t="str">
        <x:v>SRP278822</x:v>
      </x:c>
      <x:c r="E8" s="89" t="str">
        <x:v>GSM4745119</x:v>
      </x:c>
      <x:c r="F8" s="89" t="str">
        <x:v>Old_Female_R1</x:v>
      </x:c>
      <x:c r="G8" s="89" t="str">
        <x:v>SRX9004528</x:v>
      </x:c>
      <x:c r="H8" s="89" t="str"/>
      <x:c r="I8" s="89" t="str">
        <x:v>Mus musculus</x:v>
      </x:c>
      <x:c r="J8" s="89" t="str">
        <x:v>frozen liver</x:v>
      </x:c>
      <x:c r="K8" s="89" t="str">
        <x:v>untreated</x:v>
      </x:c>
      <x:c r="L8" s="89" t="str">
        <x:v>old (22–25 months)</x:v>
      </x:c>
      <x:c r="M8" s="89" t="str">
        <x:v>female</x:v>
      </x:c>
      <x:c r="N8" s="89" t="str">
        <x:v>ChRO-cap (deposited as PRO-cap)</x:v>
      </x:c>
      <x:c r="O8" s="89" t="str">
        <x:v>ChRO-cap</x:v>
      </x:c>
      <x:c r="P8" s="89" t="str">
        <x:v>cap-selected target</x:v>
      </x:c>
      <x:c r="Q8" s="89" t="n">
        <x:v>1</x:v>
      </x:c>
      <x:c r="R8" s="89" t="str">
        <x:v>liver old female</x:v>
      </x:c>
      <x:c r="S8" s="89" t="str">
        <x:v>paired-end; RNA 5′ end in R1 and RNA 3′ end in R2</x:v>
      </x:c>
      <x:c r="T8" s="90" t="str"/>
      <x:c r="U8" s="90" t="str">
        <x:v>https://www.ebi.ac.uk/ena/portal/api/filereport?accession=SRX9004528&amp;result=read_run&amp;fields=run_accession,library_layout,fastq_ftp,fastq_md5&amp;format=tsv</x:v>
      </x:c>
      <x:c r="V8" s="89" t="str">
        <x:v>mm10</x:v>
      </x:c>
      <x:c r="W8" s="89" t="str">
        <x:v>mm39</x:v>
      </x:c>
      <x:c r="X8" s="89" t="str">
        <x:v>none reported</x:v>
      </x:c>
      <x:c r="Y8" s="89" t="str">
        <x:v>target</x:v>
      </x:c>
      <x:c r="Z8" s="89" t="str">
        <x:v>include</x:v>
      </x:c>
      <x:c r="AA8" s="89" t="str">
        <x:v>sample + experiment verified; run unresolved</x:v>
      </x:c>
      <x:c r="AB8" s="89" t="str">
        <x:v>C57BL/6J. Treat age × sex as biological condition; two biological replicates per stratum.</x:v>
      </x:c>
      <x:c r="AC8" s="90" t="str">
        <x:v>https://www.ncbi.nlm.nih.gov/geo/query/acc.cgi?acc=GSM4745119</x:v>
      </x:c>
    </x:row>
    <x:row r="9" ht="63" customHeight="1">
      <x:c r="A9" s="89" t="str">
        <x:v>Liver_ChROcap_mm</x:v>
      </x:c>
      <x:c r="B9" s="89" t="str">
        <x:v>GSE156828</x:v>
      </x:c>
      <x:c r="C9" s="89" t="str">
        <x:v>PRJNA659369</x:v>
      </x:c>
      <x:c r="D9" s="89" t="str">
        <x:v>SRP278822</x:v>
      </x:c>
      <x:c r="E9" s="89" t="str">
        <x:v>GSM4745120</x:v>
      </x:c>
      <x:c r="F9" s="89" t="str">
        <x:v>Old_Female_R2</x:v>
      </x:c>
      <x:c r="G9" s="89" t="str"/>
      <x:c r="H9" s="89" t="str"/>
      <x:c r="I9" s="89" t="str">
        <x:v>Mus musculus</x:v>
      </x:c>
      <x:c r="J9" s="89" t="str">
        <x:v>frozen liver</x:v>
      </x:c>
      <x:c r="K9" s="89" t="str">
        <x:v>untreated</x:v>
      </x:c>
      <x:c r="L9" s="89" t="str">
        <x:v>old (22–25 months)</x:v>
      </x:c>
      <x:c r="M9" s="89" t="str">
        <x:v>female</x:v>
      </x:c>
      <x:c r="N9" s="89" t="str">
        <x:v>ChRO-cap (deposited as PRO-cap)</x:v>
      </x:c>
      <x:c r="O9" s="89" t="str">
        <x:v>ChRO-cap</x:v>
      </x:c>
      <x:c r="P9" s="89" t="str">
        <x:v>cap-selected target</x:v>
      </x:c>
      <x:c r="Q9" s="89" t="n">
        <x:v>2</x:v>
      </x:c>
      <x:c r="R9" s="89" t="str">
        <x:v>liver old female</x:v>
      </x:c>
      <x:c r="S9" s="89" t="str">
        <x:v>paired-end; RNA 5′ end in R1 and RNA 3′ end in R2</x:v>
      </x:c>
      <x:c r="T9" s="90" t="str"/>
      <x:c r="U9" s="90" t="str"/>
      <x:c r="V9" s="89" t="str">
        <x:v>mm10</x:v>
      </x:c>
      <x:c r="W9" s="89" t="str">
        <x:v>mm39</x:v>
      </x:c>
      <x:c r="X9" s="89" t="str">
        <x:v>none reported</x:v>
      </x:c>
      <x:c r="Y9" s="89" t="str">
        <x:v>target</x:v>
      </x:c>
      <x:c r="Z9" s="89" t="str">
        <x:v>include</x:v>
      </x:c>
      <x:c r="AA9" s="89" t="str">
        <x:v>sample verified; experiment/run unresolved</x:v>
      </x:c>
      <x:c r="AB9" s="89" t="str">
        <x:v>C57BL/6J. Treat age × sex as biological condition; two biological replicates per stratum.</x:v>
      </x:c>
      <x:c r="AC9" s="90" t="str">
        <x:v>https://www.ncbi.nlm.nih.gov/geo/query/acc.cgi?acc=GSM4745120</x:v>
      </x:c>
    </x:row>
    <x:row r="10" ht="63" customHeight="1">
      <x:c r="A10" s="89" t="str">
        <x:v>Liver_ChROcap_mm</x:v>
      </x:c>
      <x:c r="B10" s="89" t="str">
        <x:v>GSE156828</x:v>
      </x:c>
      <x:c r="C10" s="89" t="str">
        <x:v>PRJNA659369</x:v>
      </x:c>
      <x:c r="D10" s="89" t="str">
        <x:v>SRP278822</x:v>
      </x:c>
      <x:c r="E10" s="89" t="str">
        <x:v>GSM4745121</x:v>
      </x:c>
      <x:c r="F10" s="89" t="str">
        <x:v>Old_Male_R1</x:v>
      </x:c>
      <x:c r="G10" s="89" t="str">
        <x:v>SRX9004530</x:v>
      </x:c>
      <x:c r="H10" s="89" t="str"/>
      <x:c r="I10" s="89" t="str">
        <x:v>Mus musculus</x:v>
      </x:c>
      <x:c r="J10" s="89" t="str">
        <x:v>frozen liver</x:v>
      </x:c>
      <x:c r="K10" s="89" t="str">
        <x:v>untreated</x:v>
      </x:c>
      <x:c r="L10" s="89" t="str">
        <x:v>old (22–25 months)</x:v>
      </x:c>
      <x:c r="M10" s="89" t="str">
        <x:v>male</x:v>
      </x:c>
      <x:c r="N10" s="89" t="str">
        <x:v>ChRO-cap (deposited as PRO-cap)</x:v>
      </x:c>
      <x:c r="O10" s="89" t="str">
        <x:v>ChRO-cap</x:v>
      </x:c>
      <x:c r="P10" s="89" t="str">
        <x:v>cap-selected target</x:v>
      </x:c>
      <x:c r="Q10" s="89" t="n">
        <x:v>1</x:v>
      </x:c>
      <x:c r="R10" s="89" t="str">
        <x:v>liver old male</x:v>
      </x:c>
      <x:c r="S10" s="89" t="str">
        <x:v>paired-end; RNA 5′ end in R1 and RNA 3′ end in R2</x:v>
      </x:c>
      <x:c r="T10" s="90" t="str"/>
      <x:c r="U10" s="90" t="str">
        <x:v>https://www.ebi.ac.uk/ena/portal/api/filereport?accession=SRX9004530&amp;result=read_run&amp;fields=run_accession,library_layout,fastq_ftp,fastq_md5&amp;format=tsv</x:v>
      </x:c>
      <x:c r="V10" s="89" t="str">
        <x:v>mm10</x:v>
      </x:c>
      <x:c r="W10" s="89" t="str">
        <x:v>mm39</x:v>
      </x:c>
      <x:c r="X10" s="89" t="str">
        <x:v>none reported</x:v>
      </x:c>
      <x:c r="Y10" s="89" t="str">
        <x:v>target</x:v>
      </x:c>
      <x:c r="Z10" s="89" t="str">
        <x:v>include</x:v>
      </x:c>
      <x:c r="AA10" s="89" t="str">
        <x:v>sample + experiment verified; run unresolved</x:v>
      </x:c>
      <x:c r="AB10" s="89" t="str">
        <x:v>C57BL/6J. Treat age × sex as biological condition; two biological replicates per stratum.</x:v>
      </x:c>
      <x:c r="AC10" s="90" t="str">
        <x:v>https://www.ncbi.nlm.nih.gov/geo/query/acc.cgi?acc=GSM4745121</x:v>
      </x:c>
    </x:row>
    <x:row r="11" ht="63" customHeight="1">
      <x:c r="A11" s="89" t="str">
        <x:v>Liver_ChROcap_mm</x:v>
      </x:c>
      <x:c r="B11" s="89" t="str">
        <x:v>GSE156828</x:v>
      </x:c>
      <x:c r="C11" s="89" t="str">
        <x:v>PRJNA659369</x:v>
      </x:c>
      <x:c r="D11" s="89" t="str">
        <x:v>SRP278822</x:v>
      </x:c>
      <x:c r="E11" s="89" t="str">
        <x:v>GSM4745122</x:v>
      </x:c>
      <x:c r="F11" s="89" t="str">
        <x:v>Old_Male_R2</x:v>
      </x:c>
      <x:c r="G11" s="89" t="str"/>
      <x:c r="H11" s="89" t="str"/>
      <x:c r="I11" s="89" t="str">
        <x:v>Mus musculus</x:v>
      </x:c>
      <x:c r="J11" s="89" t="str">
        <x:v>frozen liver</x:v>
      </x:c>
      <x:c r="K11" s="89" t="str">
        <x:v>untreated</x:v>
      </x:c>
      <x:c r="L11" s="89" t="str">
        <x:v>old (22–25 months)</x:v>
      </x:c>
      <x:c r="M11" s="89" t="str">
        <x:v>male</x:v>
      </x:c>
      <x:c r="N11" s="89" t="str">
        <x:v>ChRO-cap (deposited as PRO-cap)</x:v>
      </x:c>
      <x:c r="O11" s="89" t="str">
        <x:v>ChRO-cap</x:v>
      </x:c>
      <x:c r="P11" s="89" t="str">
        <x:v>cap-selected target</x:v>
      </x:c>
      <x:c r="Q11" s="89" t="n">
        <x:v>2</x:v>
      </x:c>
      <x:c r="R11" s="89" t="str">
        <x:v>liver old male</x:v>
      </x:c>
      <x:c r="S11" s="89" t="str">
        <x:v>paired-end; RNA 5′ end in R1 and RNA 3′ end in R2</x:v>
      </x:c>
      <x:c r="T11" s="90" t="str"/>
      <x:c r="U11" s="90" t="str"/>
      <x:c r="V11" s="89" t="str">
        <x:v>mm10</x:v>
      </x:c>
      <x:c r="W11" s="89" t="str">
        <x:v>mm39</x:v>
      </x:c>
      <x:c r="X11" s="89" t="str">
        <x:v>none reported</x:v>
      </x:c>
      <x:c r="Y11" s="89" t="str">
        <x:v>target</x:v>
      </x:c>
      <x:c r="Z11" s="89" t="str">
        <x:v>include</x:v>
      </x:c>
      <x:c r="AA11" s="89" t="str">
        <x:v>sample verified; experiment/run unresolved</x:v>
      </x:c>
      <x:c r="AB11" s="89" t="str">
        <x:v>C57BL/6J. Treat age × sex as biological condition; two biological replicates per stratum.</x:v>
      </x:c>
      <x:c r="AC11" s="90" t="str">
        <x:v>https://www.ncbi.nlm.nih.gov/geo/query/acc.cgi?acc=GSM4745122</x:v>
      </x:c>
    </x:row>
    <x:row r="12" ht="63" customHeight="1">
      <x:c r="A12" s="89" t="str">
        <x:v>Liver_ChROcap_mm</x:v>
      </x:c>
      <x:c r="B12" s="89" t="str">
        <x:v>GSE156828</x:v>
      </x:c>
      <x:c r="C12" s="89" t="str">
        <x:v>PRJNA659369</x:v>
      </x:c>
      <x:c r="D12" s="89" t="str">
        <x:v>SRP278822</x:v>
      </x:c>
      <x:c r="E12" s="89" t="str">
        <x:v>GSM4745123</x:v>
      </x:c>
      <x:c r="F12" s="89" t="str">
        <x:v>Young_Female_R1</x:v>
      </x:c>
      <x:c r="G12" s="89" t="str"/>
      <x:c r="H12" s="89" t="str"/>
      <x:c r="I12" s="89" t="str">
        <x:v>Mus musculus</x:v>
      </x:c>
      <x:c r="J12" s="89" t="str">
        <x:v>frozen liver</x:v>
      </x:c>
      <x:c r="K12" s="89" t="str">
        <x:v>untreated</x:v>
      </x:c>
      <x:c r="L12" s="89" t="str">
        <x:v>young (2–4 months)</x:v>
      </x:c>
      <x:c r="M12" s="89" t="str">
        <x:v>female</x:v>
      </x:c>
      <x:c r="N12" s="89" t="str">
        <x:v>ChRO-cap (deposited as PRO-cap)</x:v>
      </x:c>
      <x:c r="O12" s="89" t="str">
        <x:v>ChRO-cap</x:v>
      </x:c>
      <x:c r="P12" s="89" t="str">
        <x:v>cap-selected target</x:v>
      </x:c>
      <x:c r="Q12" s="89" t="n">
        <x:v>1</x:v>
      </x:c>
      <x:c r="R12" s="89" t="str">
        <x:v>liver young female</x:v>
      </x:c>
      <x:c r="S12" s="89" t="str">
        <x:v>paired-end; RNA 5′ end in R1 and RNA 3′ end in R2</x:v>
      </x:c>
      <x:c r="T12" s="90" t="str"/>
      <x:c r="U12" s="90" t="str"/>
      <x:c r="V12" s="89" t="str">
        <x:v>mm10</x:v>
      </x:c>
      <x:c r="W12" s="89" t="str">
        <x:v>mm39</x:v>
      </x:c>
      <x:c r="X12" s="89" t="str">
        <x:v>none reported</x:v>
      </x:c>
      <x:c r="Y12" s="89" t="str">
        <x:v>target</x:v>
      </x:c>
      <x:c r="Z12" s="89" t="str">
        <x:v>include</x:v>
      </x:c>
      <x:c r="AA12" s="89" t="str">
        <x:v>sample verified; experiment/run unresolved</x:v>
      </x:c>
      <x:c r="AB12" s="89" t="str">
        <x:v>C57BL/6J. Treat age × sex as biological condition; two biological replicates per stratum.</x:v>
      </x:c>
      <x:c r="AC12" s="90" t="str">
        <x:v>https://www.ncbi.nlm.nih.gov/geo/query/acc.cgi?acc=GSM4745123</x:v>
      </x:c>
    </x:row>
    <x:row r="13" ht="63" customHeight="1">
      <x:c r="A13" s="89" t="str">
        <x:v>Liver_ChROcap_mm</x:v>
      </x:c>
      <x:c r="B13" s="89" t="str">
        <x:v>GSE156828</x:v>
      </x:c>
      <x:c r="C13" s="89" t="str">
        <x:v>PRJNA659369</x:v>
      </x:c>
      <x:c r="D13" s="89" t="str">
        <x:v>SRP278822</x:v>
      </x:c>
      <x:c r="E13" s="89" t="str">
        <x:v>GSM4745124</x:v>
      </x:c>
      <x:c r="F13" s="89" t="str">
        <x:v>Young_Female_R2</x:v>
      </x:c>
      <x:c r="G13" s="89" t="str">
        <x:v>SRX9004533</x:v>
      </x:c>
      <x:c r="H13" s="89" t="str"/>
      <x:c r="I13" s="89" t="str">
        <x:v>Mus musculus</x:v>
      </x:c>
      <x:c r="J13" s="89" t="str">
        <x:v>frozen liver</x:v>
      </x:c>
      <x:c r="K13" s="89" t="str">
        <x:v>untreated</x:v>
      </x:c>
      <x:c r="L13" s="89" t="str">
        <x:v>young (2–4 months)</x:v>
      </x:c>
      <x:c r="M13" s="89" t="str">
        <x:v>female</x:v>
      </x:c>
      <x:c r="N13" s="89" t="str">
        <x:v>ChRO-cap (deposited as PRO-cap)</x:v>
      </x:c>
      <x:c r="O13" s="89" t="str">
        <x:v>ChRO-cap</x:v>
      </x:c>
      <x:c r="P13" s="89" t="str">
        <x:v>cap-selected target</x:v>
      </x:c>
      <x:c r="Q13" s="89" t="n">
        <x:v>2</x:v>
      </x:c>
      <x:c r="R13" s="89" t="str">
        <x:v>liver young female</x:v>
      </x:c>
      <x:c r="S13" s="89" t="str">
        <x:v>paired-end; RNA 5′ end in R1 and RNA 3′ end in R2</x:v>
      </x:c>
      <x:c r="T13" s="90" t="str"/>
      <x:c r="U13" s="90" t="str">
        <x:v>https://www.ebi.ac.uk/ena/portal/api/filereport?accession=SRX9004533&amp;result=read_run&amp;fields=run_accession,library_layout,fastq_ftp,fastq_md5&amp;format=tsv</x:v>
      </x:c>
      <x:c r="V13" s="89" t="str">
        <x:v>mm10</x:v>
      </x:c>
      <x:c r="W13" s="89" t="str">
        <x:v>mm39</x:v>
      </x:c>
      <x:c r="X13" s="89" t="str">
        <x:v>none reported</x:v>
      </x:c>
      <x:c r="Y13" s="89" t="str">
        <x:v>target</x:v>
      </x:c>
      <x:c r="Z13" s="89" t="str">
        <x:v>include</x:v>
      </x:c>
      <x:c r="AA13" s="89" t="str">
        <x:v>sample + experiment verified; run unresolved</x:v>
      </x:c>
      <x:c r="AB13" s="89" t="str">
        <x:v>C57BL/6J. Treat age × sex as biological condition; two biological replicates per stratum.</x:v>
      </x:c>
      <x:c r="AC13" s="90" t="str">
        <x:v>https://www.ncbi.nlm.nih.gov/geo/query/acc.cgi?acc=GSM4745124</x:v>
      </x:c>
    </x:row>
    <x:row r="14" ht="63" customHeight="1">
      <x:c r="A14" s="89" t="str">
        <x:v>Liver_ChROcap_mm</x:v>
      </x:c>
      <x:c r="B14" s="89" t="str">
        <x:v>GSE156828</x:v>
      </x:c>
      <x:c r="C14" s="89" t="str">
        <x:v>PRJNA659369</x:v>
      </x:c>
      <x:c r="D14" s="89" t="str">
        <x:v>SRP278822</x:v>
      </x:c>
      <x:c r="E14" s="89" t="str">
        <x:v>GSM4745125</x:v>
      </x:c>
      <x:c r="F14" s="89" t="str">
        <x:v>Young_Male_R1</x:v>
      </x:c>
      <x:c r="G14" s="89" t="str"/>
      <x:c r="H14" s="89" t="str"/>
      <x:c r="I14" s="89" t="str">
        <x:v>Mus musculus</x:v>
      </x:c>
      <x:c r="J14" s="89" t="str">
        <x:v>frozen liver</x:v>
      </x:c>
      <x:c r="K14" s="89" t="str">
        <x:v>untreated</x:v>
      </x:c>
      <x:c r="L14" s="89" t="str">
        <x:v>young (2–4 months)</x:v>
      </x:c>
      <x:c r="M14" s="89" t="str">
        <x:v>male</x:v>
      </x:c>
      <x:c r="N14" s="89" t="str">
        <x:v>ChRO-cap (deposited as PRO-cap)</x:v>
      </x:c>
      <x:c r="O14" s="89" t="str">
        <x:v>ChRO-cap</x:v>
      </x:c>
      <x:c r="P14" s="89" t="str">
        <x:v>cap-selected target</x:v>
      </x:c>
      <x:c r="Q14" s="89" t="n">
        <x:v>1</x:v>
      </x:c>
      <x:c r="R14" s="89" t="str">
        <x:v>liver young male</x:v>
      </x:c>
      <x:c r="S14" s="89" t="str">
        <x:v>paired-end; RNA 5′ end in R1 and RNA 3′ end in R2</x:v>
      </x:c>
      <x:c r="T14" s="90" t="str"/>
      <x:c r="U14" s="90" t="str"/>
      <x:c r="V14" s="89" t="str">
        <x:v>mm10</x:v>
      </x:c>
      <x:c r="W14" s="89" t="str">
        <x:v>mm39</x:v>
      </x:c>
      <x:c r="X14" s="89" t="str">
        <x:v>none reported</x:v>
      </x:c>
      <x:c r="Y14" s="89" t="str">
        <x:v>target</x:v>
      </x:c>
      <x:c r="Z14" s="89" t="str">
        <x:v>include</x:v>
      </x:c>
      <x:c r="AA14" s="89" t="str">
        <x:v>sample verified; experiment/run unresolved</x:v>
      </x:c>
      <x:c r="AB14" s="89" t="str">
        <x:v>C57BL/6J. Treat age × sex as biological condition; two biological replicates per stratum.</x:v>
      </x:c>
      <x:c r="AC14" s="90" t="str">
        <x:v>https://www.ncbi.nlm.nih.gov/geo/query/acc.cgi?acc=GSM4745125</x:v>
      </x:c>
    </x:row>
    <x:row r="15" ht="63" customHeight="1">
      <x:c r="A15" s="89" t="str">
        <x:v>Liver_ChROcap_mm</x:v>
      </x:c>
      <x:c r="B15" s="89" t="str">
        <x:v>GSE156828</x:v>
      </x:c>
      <x:c r="C15" s="89" t="str">
        <x:v>PRJNA659369</x:v>
      </x:c>
      <x:c r="D15" s="89" t="str">
        <x:v>SRP278822</x:v>
      </x:c>
      <x:c r="E15" s="89" t="str">
        <x:v>GSM4745126</x:v>
      </x:c>
      <x:c r="F15" s="89" t="str">
        <x:v>Young_Male_R2</x:v>
      </x:c>
      <x:c r="G15" s="89" t="str"/>
      <x:c r="H15" s="89" t="str"/>
      <x:c r="I15" s="89" t="str">
        <x:v>Mus musculus</x:v>
      </x:c>
      <x:c r="J15" s="89" t="str">
        <x:v>frozen liver</x:v>
      </x:c>
      <x:c r="K15" s="89" t="str">
        <x:v>untreated</x:v>
      </x:c>
      <x:c r="L15" s="89" t="str">
        <x:v>young (2–4 months)</x:v>
      </x:c>
      <x:c r="M15" s="89" t="str">
        <x:v>male</x:v>
      </x:c>
      <x:c r="N15" s="89" t="str">
        <x:v>ChRO-cap (deposited as PRO-cap)</x:v>
      </x:c>
      <x:c r="O15" s="89" t="str">
        <x:v>ChRO-cap</x:v>
      </x:c>
      <x:c r="P15" s="89" t="str">
        <x:v>cap-selected target</x:v>
      </x:c>
      <x:c r="Q15" s="89" t="n">
        <x:v>2</x:v>
      </x:c>
      <x:c r="R15" s="89" t="str">
        <x:v>liver young male</x:v>
      </x:c>
      <x:c r="S15" s="89" t="str">
        <x:v>paired-end; RNA 5′ end in R1 and RNA 3′ end in R2</x:v>
      </x:c>
      <x:c r="T15" s="90" t="str"/>
      <x:c r="U15" s="90" t="str"/>
      <x:c r="V15" s="89" t="str">
        <x:v>mm10</x:v>
      </x:c>
      <x:c r="W15" s="89" t="str">
        <x:v>mm39</x:v>
      </x:c>
      <x:c r="X15" s="89" t="str">
        <x:v>none reported</x:v>
      </x:c>
      <x:c r="Y15" s="89" t="str">
        <x:v>target</x:v>
      </x:c>
      <x:c r="Z15" s="89" t="str">
        <x:v>include</x:v>
      </x:c>
      <x:c r="AA15" s="89" t="str">
        <x:v>sample verified; experiment/run unresolved</x:v>
      </x:c>
      <x:c r="AB15" s="89" t="str">
        <x:v>C57BL/6J. Treat age × sex as biological condition; two biological replicates per stratum.</x:v>
      </x:c>
      <x:c r="AC15" s="90" t="str">
        <x:v>https://www.ncbi.nlm.nih.gov/geo/query/acc.cgi?acc=GSM4745126</x:v>
      </x:c>
    </x:row>
    <x:row r="16" ht="63" customHeight="1">
      <x:c r="A16" s="89" t="str">
        <x:v>Bcell_PROcap_mm</x:v>
      </x:c>
      <x:c r="B16" s="89" t="str">
        <x:v>GSE202040</x:v>
      </x:c>
      <x:c r="C16" s="89" t="str">
        <x:v>PRJNA834081</x:v>
      </x:c>
      <x:c r="D16" s="89" t="str"/>
      <x:c r="E16" s="89" t="str">
        <x:v>GSM6090081</x:v>
      </x:c>
      <x:c r="F16" s="89" t="str">
        <x:v>priBd3_B18hi_cap1</x:v>
      </x:c>
      <x:c r="G16" s="89" t="str"/>
      <x:c r="H16" s="89" t="str"/>
      <x:c r="I16" s="89" t="str">
        <x:v>Mus musculus</x:v>
      </x:c>
      <x:c r="J16" s="89" t="str">
        <x:v>primary activated B cells</x:v>
      </x:c>
      <x:c r="K16" s="89" t="str">
        <x:v>B18hi</x:v>
      </x:c>
      <x:c r="L16" s="89" t="str">
        <x:v>primary cells</x:v>
      </x:c>
      <x:c r="M16" s="89" t="str">
        <x:v>not reported</x:v>
      </x:c>
      <x:c r="N16" s="89" t="str">
        <x:v>PRO-cap</x:v>
      </x:c>
      <x:c r="O16" s="89" t="str">
        <x:v>PRO-cap</x:v>
      </x:c>
      <x:c r="P16" s="89" t="str">
        <x:v>cap-selected target</x:v>
      </x:c>
      <x:c r="Q16" s="89" t="n">
        <x:v>1</x:v>
      </x:c>
      <x:c r="R16" s="89" t="str">
        <x:v>priBd3 B18hi</x:v>
      </x:c>
      <x:c r="S16" s="89" t="str">
        <x:v>unresolved</x:v>
      </x:c>
      <x:c r="T16" s="90" t="str"/>
      <x:c r="U16" s="90" t="str"/>
      <x:c r="V16" s="89" t="str">
        <x:v>mm10</x:v>
      </x:c>
      <x:c r="W16" s="89" t="str">
        <x:v>mm39</x:v>
      </x:c>
      <x:c r="X16" s="89" t="str">
        <x:v>Drosophila material reported as spike-in</x:v>
      </x:c>
      <x:c r="Y16" s="89" t="str">
        <x:v>target</x:v>
      </x:c>
      <x:c r="Z16" s="89" t="str">
        <x:v>conditional</x:v>
      </x:c>
      <x:c r="AA16" s="89" t="str">
        <x:v>sample verified; experiment/run unresolved</x:v>
      </x:c>
      <x:c r="AB16" s="89" t="str">
        <x:v>Replicate pair with GSM6090082. Targeted immunoglobulin context; consider separate task/head.</x:v>
      </x:c>
      <x:c r="AC16" s="90" t="str">
        <x:v>https://www.ncbi.nlm.nih.gov/geo/query/acc.cgi?acc=GSM6090081</x:v>
      </x:c>
    </x:row>
    <x:row r="17" ht="63" customHeight="1">
      <x:c r="A17" s="89" t="str">
        <x:v>Bcell_PROcap_mm</x:v>
      </x:c>
      <x:c r="B17" s="89" t="str">
        <x:v>GSE202040</x:v>
      </x:c>
      <x:c r="C17" s="89" t="str">
        <x:v>PRJNA834081</x:v>
      </x:c>
      <x:c r="D17" s="89" t="str"/>
      <x:c r="E17" s="89" t="str">
        <x:v>GSM6090082</x:v>
      </x:c>
      <x:c r="F17" s="89" t="str">
        <x:v>priBd3_B18hi_cap2</x:v>
      </x:c>
      <x:c r="G17" s="89" t="str"/>
      <x:c r="H17" s="89" t="str"/>
      <x:c r="I17" s="89" t="str">
        <x:v>Mus musculus</x:v>
      </x:c>
      <x:c r="J17" s="89" t="str">
        <x:v>primary activated B cells</x:v>
      </x:c>
      <x:c r="K17" s="89" t="str">
        <x:v>B18hi</x:v>
      </x:c>
      <x:c r="L17" s="89" t="str">
        <x:v>primary cells</x:v>
      </x:c>
      <x:c r="M17" s="89" t="str">
        <x:v>not reported</x:v>
      </x:c>
      <x:c r="N17" s="89" t="str">
        <x:v>PRO-cap</x:v>
      </x:c>
      <x:c r="O17" s="89" t="str">
        <x:v>PRO-cap</x:v>
      </x:c>
      <x:c r="P17" s="89" t="str">
        <x:v>cap-selected target</x:v>
      </x:c>
      <x:c r="Q17" s="89" t="n">
        <x:v>2</x:v>
      </x:c>
      <x:c r="R17" s="89" t="str">
        <x:v>priBd3 B18hi</x:v>
      </x:c>
      <x:c r="S17" s="89" t="str">
        <x:v>unresolved</x:v>
      </x:c>
      <x:c r="T17" s="90" t="str"/>
      <x:c r="U17" s="90" t="str"/>
      <x:c r="V17" s="89" t="str">
        <x:v>mm10</x:v>
      </x:c>
      <x:c r="W17" s="89" t="str">
        <x:v>mm39</x:v>
      </x:c>
      <x:c r="X17" s="89" t="str">
        <x:v>Drosophila material reported as spike-in</x:v>
      </x:c>
      <x:c r="Y17" s="89" t="str">
        <x:v>target</x:v>
      </x:c>
      <x:c r="Z17" s="89" t="str">
        <x:v>conditional</x:v>
      </x:c>
      <x:c r="AA17" s="89" t="str">
        <x:v>sample verified; experiment/run unresolved</x:v>
      </x:c>
      <x:c r="AB17" s="89" t="str">
        <x:v>Replicate pair with GSM6090081. Targeted immunoglobulin context; consider separate task/head.</x:v>
      </x:c>
      <x:c r="AC17" s="90" t="str">
        <x:v>https://www.ncbi.nlm.nih.gov/geo/query/acc.cgi?acc=GSM6090082</x:v>
      </x:c>
    </x:row>
    <x:row r="18" ht="63" customHeight="1">
      <x:c r="A18" s="89" t="str">
        <x:v>Bcell_PROcap_mm</x:v>
      </x:c>
      <x:c r="B18" s="89" t="str">
        <x:v>GSE202040</x:v>
      </x:c>
      <x:c r="C18" s="89" t="str">
        <x:v>PRJNA834081</x:v>
      </x:c>
      <x:c r="D18" s="89" t="str"/>
      <x:c r="E18" s="89" t="str">
        <x:v>GSM6090083</x:v>
      </x:c>
      <x:c r="F18" s="89" t="str">
        <x:v>GCB_B18hi_cap</x:v>
      </x:c>
      <x:c r="G18" s="89" t="str"/>
      <x:c r="H18" s="89" t="str"/>
      <x:c r="I18" s="89" t="str">
        <x:v>Mus musculus</x:v>
      </x:c>
      <x:c r="J18" s="89" t="str">
        <x:v>germinal center B cells</x:v>
      </x:c>
      <x:c r="K18" s="89" t="str">
        <x:v>B18hi</x:v>
      </x:c>
      <x:c r="L18" s="89" t="str">
        <x:v>primary cells</x:v>
      </x:c>
      <x:c r="M18" s="89" t="str">
        <x:v>not reported</x:v>
      </x:c>
      <x:c r="N18" s="89" t="str">
        <x:v>PRO-cap</x:v>
      </x:c>
      <x:c r="O18" s="89" t="str">
        <x:v>PRO-cap</x:v>
      </x:c>
      <x:c r="P18" s="89" t="str">
        <x:v>cap-selected target</x:v>
      </x:c>
      <x:c r="Q18" s="89" t="n">
        <x:v>1</x:v>
      </x:c>
      <x:c r="R18" s="89" t="str">
        <x:v>GCB B18hi</x:v>
      </x:c>
      <x:c r="S18" s="89" t="str">
        <x:v>unresolved</x:v>
      </x:c>
      <x:c r="T18" s="90" t="str"/>
      <x:c r="U18" s="90" t="str"/>
      <x:c r="V18" s="89" t="str">
        <x:v>mm10</x:v>
      </x:c>
      <x:c r="W18" s="89" t="str">
        <x:v>mm39</x:v>
      </x:c>
      <x:c r="X18" s="89" t="str">
        <x:v>Drosophila material reported as spike-in</x:v>
      </x:c>
      <x:c r="Y18" s="89" t="str">
        <x:v>target</x:v>
      </x:c>
      <x:c r="Z18" s="89" t="str">
        <x:v>conditional</x:v>
      </x:c>
      <x:c r="AA18" s="89" t="str">
        <x:v>sample verified; experiment/run unresolved</x:v>
      </x:c>
      <x:c r="AB18" s="89" t="str">
        <x:v>Single deposited cap library for this condition.</x:v>
      </x:c>
      <x:c r="AC18" s="90" t="str">
        <x:v>https://www.ncbi.nlm.nih.gov/geo/query/acc.cgi?acc=GSM6090083</x:v>
      </x:c>
    </x:row>
    <x:row r="19" ht="63" customHeight="1">
      <x:c r="A19" s="89" t="str">
        <x:v>Kwak2013_dm_S2</x:v>
      </x:c>
      <x:c r="B19" s="89" t="str">
        <x:v>GSE42117</x:v>
      </x:c>
      <x:c r="C19" s="89" t="str">
        <x:v>PRJNA179188</x:v>
      </x:c>
      <x:c r="D19" s="89" t="str">
        <x:v>SRP017121</x:v>
      </x:c>
      <x:c r="E19" s="89" t="str">
        <x:v>GSM1032759</x:v>
      </x:c>
      <x:c r="F19" s="89" t="str">
        <x:v>Drosophila S2 cell line [PRO-cap_01]</x:v>
      </x:c>
      <x:c r="G19" s="89" t="str">
        <x:v>SRX203293</x:v>
      </x:c>
      <x:c r="H19" s="89" t="str"/>
      <x:c r="I19" s="89" t="str">
        <x:v>Drosophila melanogaster</x:v>
      </x:c>
      <x:c r="J19" s="89" t="str">
        <x:v>S2 cells</x:v>
      </x:c>
      <x:c r="K19" s="89" t="str">
        <x:v>untreated</x:v>
      </x:c>
      <x:c r="L19" s="89" t="str">
        <x:v>cell culture</x:v>
      </x:c>
      <x:c r="M19" s="89" t="str">
        <x:v>not applicable</x:v>
      </x:c>
      <x:c r="N19" s="89" t="str">
        <x:v>PRO-cap</x:v>
      </x:c>
      <x:c r="O19" s="89" t="str">
        <x:v>PRO-cap</x:v>
      </x:c>
      <x:c r="P19" s="89" t="str">
        <x:v>cap-selected target</x:v>
      </x:c>
      <x:c r="Q19" s="89" t="n">
        <x:v>1</x:v>
      </x:c>
      <x:c r="R19" s="89" t="str">
        <x:v>S2 untreated</x:v>
      </x:c>
      <x:c r="S19" s="89" t="str">
        <x:v>single-end (legacy deposit; recheck run)</x:v>
      </x:c>
      <x:c r="T19" s="90" t="str"/>
      <x:c r="U19" s="90" t="str">
        <x:v>https://www.ebi.ac.uk/ena/portal/api/filereport?accession=SRX203293&amp;result=read_run&amp;fields=run_accession,library_layout,fastq_ftp,fastq_md5&amp;format=tsv</x:v>
      </x:c>
      <x:c r="V19" s="89" t="str">
        <x:v>FlyBase dm5.22 / dm3-era</x:v>
      </x:c>
      <x:c r="W19" s="89" t="str">
        <x:v>dm6</x:v>
      </x:c>
      <x:c r="X19" s="89" t="str">
        <x:v>none reported</x:v>
      </x:c>
      <x:c r="Y19" s="89" t="str">
        <x:v>target</x:v>
      </x:c>
      <x:c r="Z19" s="89" t="str">
        <x:v>include</x:v>
      </x:c>
      <x:c r="AA19" s="89" t="str">
        <x:v>sample + experiment verified; legacy SRZ/run crosswalk unresolved</x:v>
      </x:c>
      <x:c r="AB19" s="89" t="str">
        <x:v>Original S2 PRO-cap library. DBNascent lists legacy SRZ/SRR project inventory, but the per-sample run is not asserted here.</x:v>
      </x:c>
      <x:c r="AC19" s="90" t="str">
        <x:v>https://www.ncbi.nlm.nih.gov/geo/query/acc.cgi?acc=GSM1032759</x:v>
      </x:c>
    </x:row>
    <x:row r="20" ht="63" customHeight="1">
      <x:c r="A20" s="89" t="str">
        <x:v>Embryo_PROcap_dm</x:v>
      </x:c>
      <x:c r="B20" s="89" t="str">
        <x:v>E-MTAB-6154</x:v>
      </x:c>
      <x:c r="C20" s="89" t="str"/>
      <x:c r="D20" s="89" t="str"/>
      <x:c r="E20" s="89" t="str">
        <x:v>E-MTAB-6154:3-4h-AEL</x:v>
      </x:c>
      <x:c r="F20" s="89" t="str">
        <x:v>whole embryo 3–4 h AEL</x:v>
      </x:c>
      <x:c r="G20" s="89" t="str"/>
      <x:c r="H20" s="89" t="str"/>
      <x:c r="I20" s="89" t="str">
        <x:v>Drosophila melanogaster</x:v>
      </x:c>
      <x:c r="J20" s="89" t="str">
        <x:v>whole embryos</x:v>
      </x:c>
      <x:c r="K20" s="89" t="str">
        <x:v>wild type</x:v>
      </x:c>
      <x:c r="L20" s="89" t="str">
        <x:v>3–4 h after egg laying</x:v>
      </x:c>
      <x:c r="M20" s="89" t="str">
        <x:v>mixed/not applicable</x:v>
      </x:c>
      <x:c r="N20" s="89" t="str">
        <x:v>PRO-cap</x:v>
      </x:c>
      <x:c r="O20" s="89" t="str">
        <x:v>PRO-cap</x:v>
      </x:c>
      <x:c r="P20" s="89" t="str">
        <x:v>cap-selected target</x:v>
      </x:c>
      <x:c r="Q20" s="89" t="n">
        <x:v>1</x:v>
      </x:c>
      <x:c r="R20" s="89" t="str">
        <x:v>embryo 3–4 h AEL</x:v>
      </x:c>
      <x:c r="S20" s="89" t="str">
        <x:v>unresolved</x:v>
      </x:c>
      <x:c r="T20" s="90" t="str"/>
      <x:c r="U20" s="90" t="str"/>
      <x:c r="V20" s="89" t="str">
        <x:v>dm3</x:v>
      </x:c>
      <x:c r="W20" s="89" t="str">
        <x:v>dm6</x:v>
      </x:c>
      <x:c r="X20" s="89" t="str">
        <x:v>none reported</x:v>
      </x:c>
      <x:c r="Y20" s="89" t="str">
        <x:v>target</x:v>
      </x:c>
      <x:c r="Z20" s="89" t="str">
        <x:v>conditional</x:v>
      </x:c>
      <x:c r="AA20" s="89" t="str">
        <x:v>study/condition verified; assay/run identifier unresolved</x:v>
      </x:c>
      <x:c r="AB20" s="89" t="str">
        <x:v>Raw data are deposited in ArrayExpress/BioStudies; processed strand-specific bigWigs were released separately.</x:v>
      </x:c>
      <x:c r="AC20" s="90" t="str">
        <x:v>https://www.ebi.ac.uk/biostudies/arrayexpress/studies/E-MTAB-6154</x:v>
      </x:c>
    </x:row>
    <x:row r="21" ht="63" customHeight="1">
      <x:c r="A21" s="89" t="str">
        <x:v>Embryo_PROcap_dm</x:v>
      </x:c>
      <x:c r="B21" s="89" t="str">
        <x:v>E-MTAB-6154</x:v>
      </x:c>
      <x:c r="C21" s="89" t="str"/>
      <x:c r="D21" s="89" t="str"/>
      <x:c r="E21" s="89" t="str">
        <x:v>E-MTAB-6154:6-8h-AEL</x:v>
      </x:c>
      <x:c r="F21" s="89" t="str">
        <x:v>whole embryo 6–8 h AEL</x:v>
      </x:c>
      <x:c r="G21" s="89" t="str"/>
      <x:c r="H21" s="89" t="str"/>
      <x:c r="I21" s="89" t="str">
        <x:v>Drosophila melanogaster</x:v>
      </x:c>
      <x:c r="J21" s="89" t="str">
        <x:v>whole embryos</x:v>
      </x:c>
      <x:c r="K21" s="89" t="str">
        <x:v>wild type</x:v>
      </x:c>
      <x:c r="L21" s="89" t="str">
        <x:v>6–8 h after egg laying</x:v>
      </x:c>
      <x:c r="M21" s="89" t="str">
        <x:v>mixed/not applicable</x:v>
      </x:c>
      <x:c r="N21" s="89" t="str">
        <x:v>PRO-cap</x:v>
      </x:c>
      <x:c r="O21" s="89" t="str">
        <x:v>PRO-cap</x:v>
      </x:c>
      <x:c r="P21" s="89" t="str">
        <x:v>cap-selected target</x:v>
      </x:c>
      <x:c r="Q21" s="89" t="n">
        <x:v>1</x:v>
      </x:c>
      <x:c r="R21" s="89" t="str">
        <x:v>embryo 6–8 h AEL</x:v>
      </x:c>
      <x:c r="S21" s="89" t="str">
        <x:v>unresolved</x:v>
      </x:c>
      <x:c r="T21" s="90" t="str"/>
      <x:c r="U21" s="90" t="str"/>
      <x:c r="V21" s="89" t="str">
        <x:v>dm3</x:v>
      </x:c>
      <x:c r="W21" s="89" t="str">
        <x:v>dm6</x:v>
      </x:c>
      <x:c r="X21" s="89" t="str">
        <x:v>none reported</x:v>
      </x:c>
      <x:c r="Y21" s="89" t="str">
        <x:v>target</x:v>
      </x:c>
      <x:c r="Z21" s="89" t="str">
        <x:v>conditional</x:v>
      </x:c>
      <x:c r="AA21" s="89" t="str">
        <x:v>study/condition verified; assay/run identifier unresolved</x:v>
      </x:c>
      <x:c r="AB21" s="89" t="str">
        <x:v>Biologically distinct developmental window, not a replicate of the 3–4 h sample.</x:v>
      </x:c>
      <x:c r="AC21" s="90" t="str">
        <x:v>https://www.ebi.ac.uk/biostudies/arrayexpress/studies/E-MTAB-6154</x:v>
      </x:c>
    </x:row>
    <x:row r="22" ht="63" customHeight="1">
      <x:c r="A22" s="89" t="str">
        <x:v>LacZ_PROcap_dm</x:v>
      </x:c>
      <x:c r="B22" s="89" t="str">
        <x:v>GSE211397</x:v>
      </x:c>
      <x:c r="C22" s="89" t="str">
        <x:v>PRJNA870098</x:v>
      </x:c>
      <x:c r="D22" s="89" t="str"/>
      <x:c r="E22" s="89" t="str">
        <x:v>GSM6469486</x:v>
      </x:c>
      <x:c r="F22" s="89" t="str">
        <x:v>PROcap_LacZKD (TAP+)</x:v>
      </x:c>
      <x:c r="G22" s="89" t="str">
        <x:v>SRX17106104</x:v>
      </x:c>
      <x:c r="H22" s="89" t="str"/>
      <x:c r="I22" s="89" t="str">
        <x:v>Drosophila melanogaster</x:v>
      </x:c>
      <x:c r="J22" s="89" t="str">
        <x:v>S2 cells</x:v>
      </x:c>
      <x:c r="K22" s="89" t="str">
        <x:v>LacZ knockdown</x:v>
      </x:c>
      <x:c r="L22" s="89" t="str">
        <x:v>cell culture</x:v>
      </x:c>
      <x:c r="M22" s="89" t="str">
        <x:v>not applicable</x:v>
      </x:c>
      <x:c r="N22" s="89" t="str">
        <x:v>PRO-cap</x:v>
      </x:c>
      <x:c r="O22" s="89" t="str">
        <x:v>PRO-cap</x:v>
      </x:c>
      <x:c r="P22" s="89" t="str">
        <x:v>TAP+</x:v>
      </x:c>
      <x:c r="Q22" s="89" t="n">
        <x:v>1</x:v>
      </x:c>
      <x:c r="R22" s="89" t="str">
        <x:v>LacZ KD protocol pair</x:v>
      </x:c>
      <x:c r="S22" s="89" t="str">
        <x:v>unresolved</x:v>
      </x:c>
      <x:c r="T22" s="90" t="str"/>
      <x:c r="U22" s="90" t="str">
        <x:v>https://www.ebi.ac.uk/ena/portal/api/filereport?accession=SRX17106104&amp;result=read_run&amp;fields=run_accession,library_layout,fastq_ftp,fastq_md5&amp;format=tsv</x:v>
      </x:c>
      <x:c r="V22" s="89" t="str">
        <x:v>dm6</x:v>
      </x:c>
      <x:c r="W22" s="89" t="str">
        <x:v>dm6</x:v>
      </x:c>
      <x:c r="X22" s="89" t="str">
        <x:v>mouse MEFs</x:v>
      </x:c>
      <x:c r="Y22" s="89" t="str">
        <x:v>target</x:v>
      </x:c>
      <x:c r="Z22" s="89" t="str">
        <x:v>include</x:v>
      </x:c>
      <x:c r="AA22" s="89" t="str">
        <x:v>sample + experiment verified; run unresolved</x:v>
      </x:c>
      <x:c r="AB22" s="89" t="str">
        <x:v>Useful S2 baseline/control condition. Keep spike-in reads separate.</x:v>
      </x:c>
      <x:c r="AC22" s="90" t="str">
        <x:v>https://www.ncbi.nlm.nih.gov/geo/query/acc.cgi?acc=GSM6469486</x:v>
      </x:c>
    </x:row>
    <x:row r="23" ht="63" customHeight="1">
      <x:c r="A23" s="89" t="str">
        <x:v>LacZ_PROcap_dm</x:v>
      </x:c>
      <x:c r="B23" s="89" t="str">
        <x:v>GSE211397</x:v>
      </x:c>
      <x:c r="C23" s="89" t="str">
        <x:v>PRJNA870098</x:v>
      </x:c>
      <x:c r="D23" s="89" t="str"/>
      <x:c r="E23" s="89" t="str">
        <x:v>GSM6469487</x:v>
      </x:c>
      <x:c r="F23" s="89" t="str">
        <x:v>PROcap_LacZKD_noTAP (TAP−)</x:v>
      </x:c>
      <x:c r="G23" s="89" t="str"/>
      <x:c r="H23" s="89" t="str"/>
      <x:c r="I23" s="89" t="str">
        <x:v>Drosophila melanogaster</x:v>
      </x:c>
      <x:c r="J23" s="89" t="str">
        <x:v>S2 cells</x:v>
      </x:c>
      <x:c r="K23" s="89" t="str">
        <x:v>LacZ knockdown</x:v>
      </x:c>
      <x:c r="L23" s="89" t="str">
        <x:v>cell culture</x:v>
      </x:c>
      <x:c r="M23" s="89" t="str">
        <x:v>not applicable</x:v>
      </x:c>
      <x:c r="N23" s="89" t="str">
        <x:v>PRO-cap</x:v>
      </x:c>
      <x:c r="O23" s="89" t="str">
        <x:v>PRO-cap</x:v>
      </x:c>
      <x:c r="P23" s="89" t="str">
        <x:v>TAP−</x:v>
      </x:c>
      <x:c r="Q23" s="89" t="n">
        <x:v>1</x:v>
      </x:c>
      <x:c r="R23" s="89" t="str">
        <x:v>LacZ KD protocol pair</x:v>
      </x:c>
      <x:c r="S23" s="89" t="str">
        <x:v>unresolved</x:v>
      </x:c>
      <x:c r="T23" s="90" t="str"/>
      <x:c r="U23" s="90" t="str"/>
      <x:c r="V23" s="89" t="str">
        <x:v>dm6</x:v>
      </x:c>
      <x:c r="W23" s="89" t="str">
        <x:v>dm6</x:v>
      </x:c>
      <x:c r="X23" s="89" t="str">
        <x:v>mouse MEFs</x:v>
      </x:c>
      <x:c r="Y23" s="89" t="str">
        <x:v>control</x:v>
      </x:c>
      <x:c r="Z23" s="89" t="str">
        <x:v>exclude</x:v>
      </x:c>
      <x:c r="AA23" s="89" t="str">
        <x:v>sample verified; experiment/run unresolved</x:v>
      </x:c>
      <x:c r="AB23" s="89" t="str">
        <x:v>Negative-enzyme control: retain for background/QC, exclude from positive TSS target training.</x:v>
      </x:c>
      <x:c r="AC23" s="90" t="str">
        <x:v>https://www.ncbi.nlm.nih.gov/geo/query/acc.cgi?acc=GSM6469487</x:v>
      </x:c>
    </x:row>
    <x:row r="24" ht="63" customHeight="1">
      <x:c r="A24" s="89" t="str">
        <x:v>Duttke2017_dm_S2</x:v>
      </x:c>
      <x:c r="B24" s="89" t="str">
        <x:v>GSE68677</x:v>
      </x:c>
      <x:c r="C24" s="89" t="str">
        <x:v>PRJNA284402</x:v>
      </x:c>
      <x:c r="D24" s="89" t="str">
        <x:v>SRP058504</x:v>
      </x:c>
      <x:c r="E24" s="89" t="str">
        <x:v>GSM1678908</x:v>
      </x:c>
      <x:c r="F24" s="89" t="str">
        <x:v>S2_GRO5_r1</x:v>
      </x:c>
      <x:c r="G24" s="89" t="str"/>
      <x:c r="H24" s="89" t="str"/>
      <x:c r="I24" s="89" t="str">
        <x:v>Drosophila melanogaster</x:v>
      </x:c>
      <x:c r="J24" s="89" t="str">
        <x:v>S2 cells</x:v>
      </x:c>
      <x:c r="K24" s="89" t="str">
        <x:v>wild type / control</x:v>
      </x:c>
      <x:c r="L24" s="89" t="str">
        <x:v>cell culture</x:v>
      </x:c>
      <x:c r="M24" s="89" t="str">
        <x:v>not applicable</x:v>
      </x:c>
      <x:c r="N24" s="89" t="str">
        <x:v>5′GRO / GRO-cap</x:v>
      </x:c>
      <x:c r="O24" s="89" t="str">
        <x:v>GRO-cap-equivalent</x:v>
      </x:c>
      <x:c r="P24" s="89" t="str">
        <x:v>capped 5′ end enriched</x:v>
      </x:c>
      <x:c r="Q24" s="89" t="n">
        <x:v>1</x:v>
      </x:c>
      <x:c r="R24" s="89" t="str">
        <x:v>S2 wild type</x:v>
      </x:c>
      <x:c r="S24" s="89" t="str">
        <x:v>unresolved</x:v>
      </x:c>
      <x:c r="T24" s="90" t="str"/>
      <x:c r="U24" s="90" t="str"/>
      <x:c r="V24" s="89" t="str">
        <x:v>dm3</x:v>
      </x:c>
      <x:c r="W24" s="89" t="str">
        <x:v>dm6</x:v>
      </x:c>
      <x:c r="X24" s="89" t="str">
        <x:v>none reported</x:v>
      </x:c>
      <x:c r="Y24" s="89" t="str">
        <x:v>target</x:v>
      </x:c>
      <x:c r="Z24" s="89" t="str">
        <x:v>conditional</x:v>
      </x:c>
      <x:c r="AA24" s="89" t="str">
        <x:v>sample verified; experiment/run unresolved</x:v>
      </x:c>
      <x:c r="AB24" s="89" t="str">
        <x:v>Unpublished/public archive dataset. Replicate 1 run must be resolved before automated download.</x:v>
      </x:c>
      <x:c r="AC24" s="90" t="str">
        <x:v>https://www.ncbi.nlm.nih.gov/geo/query/acc.cgi?acc=GSM1678908</x:v>
      </x:c>
    </x:row>
    <x:row r="25" ht="63" customHeight="1">
      <x:c r="A25" s="89" t="str">
        <x:v>Duttke2017_dm_S2</x:v>
      </x:c>
      <x:c r="B25" s="89" t="str">
        <x:v>GSE68677</x:v>
      </x:c>
      <x:c r="C25" s="89" t="str">
        <x:v>PRJNA284402</x:v>
      </x:c>
      <x:c r="D25" s="89" t="str">
        <x:v>SRP058504</x:v>
      </x:c>
      <x:c r="E25" s="89" t="str">
        <x:v>GSM1678910</x:v>
      </x:c>
      <x:c r="F25" s="89" t="str">
        <x:v>S2_GRO5_r2</x:v>
      </x:c>
      <x:c r="G25" s="89" t="str"/>
      <x:c r="H25" s="89" t="str">
        <x:v>SRR2033379</x:v>
      </x:c>
      <x:c r="I25" s="89" t="str">
        <x:v>Drosophila melanogaster</x:v>
      </x:c>
      <x:c r="J25" s="89" t="str">
        <x:v>S2 cells</x:v>
      </x:c>
      <x:c r="K25" s="89" t="str">
        <x:v>wild type / control</x:v>
      </x:c>
      <x:c r="L25" s="89" t="str">
        <x:v>cell culture</x:v>
      </x:c>
      <x:c r="M25" s="89" t="str">
        <x:v>not applicable</x:v>
      </x:c>
      <x:c r="N25" s="89" t="str">
        <x:v>5′GRO / GRO-cap</x:v>
      </x:c>
      <x:c r="O25" s="89" t="str">
        <x:v>GRO-cap-equivalent</x:v>
      </x:c>
      <x:c r="P25" s="89" t="str">
        <x:v>capped 5′ end enriched</x:v>
      </x:c>
      <x:c r="Q25" s="89" t="n">
        <x:v>2</x:v>
      </x:c>
      <x:c r="R25" s="89" t="str">
        <x:v>S2 wild type</x:v>
      </x:c>
      <x:c r="S25" s="89" t="str">
        <x:v>single-end, forward, 51 bp (DBNascent)</x:v>
      </x:c>
      <x:c r="T25" s="90" t="str">
        <x:v>https://ftp.sra.ebi.ac.uk/vol1/fastq/SRR203/379/SRR2033379/SRR2033379.fastq.gz</x:v>
      </x:c>
      <x:c r="U25" s="90" t="str">
        <x:v>https://www.ebi.ac.uk/ena/portal/api/filereport?accession=SRR2033379&amp;result=read_run&amp;fields=run_accession,library_layout,fastq_ftp,fastq_md5&amp;format=tsv</x:v>
      </x:c>
      <x:c r="V25" s="89" t="str">
        <x:v>dm3</x:v>
      </x:c>
      <x:c r="W25" s="89" t="str">
        <x:v>dm6</x:v>
      </x:c>
      <x:c r="X25" s="89" t="str">
        <x:v>none reported</x:v>
      </x:c>
      <x:c r="Y25" s="89" t="str">
        <x:v>target</x:v>
      </x:c>
      <x:c r="Z25" s="89" t="str">
        <x:v>conditional</x:v>
      </x:c>
      <x:c r="AA25" s="89" t="str">
        <x:v>run verified; ENA FASTQ path constructed</x:v>
      </x:c>
      <x:c r="AB25" s="89" t="str">
        <x:v>Unpublished/public archive dataset; useful as a replicated S2 extension once rep1 is resolved.</x:v>
      </x:c>
      <x:c r="AC25" s="90" t="str">
        <x:v>https://www.ncbi.nlm.nih.gov/geo/query/acc.cgi?acc=GSM1678910</x:v>
      </x:c>
    </x:row>
    <x:row r="26" ht="63" customHeight="1">
      <x:c r="A26" s="89" t="str">
        <x:v>Kruesi2013_ce_GROcap</x:v>
      </x:c>
      <x:c r="B26" s="89" t="str">
        <x:v>GSE43085</x:v>
      </x:c>
      <x:c r="C26" s="89" t="str">
        <x:v>PRJNA184363</x:v>
      </x:c>
      <x:c r="D26" s="89" t="str">
        <x:v>SRP017636</x:v>
      </x:c>
      <x:c r="E26" s="89" t="str">
        <x:v>GSM1056284</x:v>
      </x:c>
      <x:c r="F26" s="89" t="str">
        <x:v>N2 embryo TAP+</x:v>
      </x:c>
      <x:c r="G26" s="89" t="str">
        <x:v>SRX212227</x:v>
      </x:c>
      <x:c r="H26" s="89" t="str"/>
      <x:c r="I26" s="89" t="str">
        <x:v>Caenorhabditis elegans</x:v>
      </x:c>
      <x:c r="J26" s="89" t="str">
        <x:v>whole-animal/embryo material</x:v>
      </x:c>
      <x:c r="K26" s="89" t="str">
        <x:v>N2</x:v>
      </x:c>
      <x:c r="L26" s="89" t="str">
        <x:v>embryo</x:v>
      </x:c>
      <x:c r="M26" s="89" t="str">
        <x:v>mixed/not reported</x:v>
      </x:c>
      <x:c r="N26" s="89" t="str">
        <x:v>GRO-cap</x:v>
      </x:c>
      <x:c r="O26" s="89" t="str">
        <x:v>GRO-cap</x:v>
      </x:c>
      <x:c r="P26" s="89" t="str">
        <x:v>TAP+</x:v>
      </x:c>
      <x:c r="Q26" s="89" t="n">
        <x:v>1</x:v>
      </x:c>
      <x:c r="R26" s="89" t="str">
        <x:v>N2 embryo</x:v>
      </x:c>
      <x:c r="S26" s="89" t="str">
        <x:v>single-end (legacy deposit; recheck run)</x:v>
      </x:c>
      <x:c r="T26" s="90" t="str"/>
      <x:c r="U26" s="90" t="str">
        <x:v>https://www.ebi.ac.uk/ena/portal/api/filereport?accession=SRX212227&amp;result=read_run&amp;fields=run_accession,library_layout,fastq_ftp,fastq_md5&amp;format=tsv</x:v>
      </x:c>
      <x:c r="V26" s="89" t="str">
        <x:v>WormBase WS230</x:v>
      </x:c>
      <x:c r="W26" s="89" t="str">
        <x:v>ce11 / WBcel235</x:v>
      </x:c>
      <x:c r="X26" s="89" t="str">
        <x:v>none reported</x:v>
      </x:c>
      <x:c r="Y26" s="89" t="str">
        <x:v>target</x:v>
      </x:c>
      <x:c r="Z26" s="89" t="str">
        <x:v>include</x:v>
      </x:c>
      <x:c r="AA26" s="89" t="str">
        <x:v>sample + experiment verified; run unresolved</x:v>
      </x:c>
      <x:c r="AB26" s="89" t="str">
        <x:v>C. elegans trans-splicing makes mature RNA 5′ ends unreliable proxies for transcription initiation; GRO-cap is especially valuable here.</x:v>
      </x:c>
      <x:c r="AC26" s="90" t="str">
        <x:v>https://www.ncbi.nlm.nih.gov/geo/query/acc.cgi?acc=GSM1056284</x:v>
      </x:c>
    </x:row>
    <x:row r="27" ht="63" customHeight="1">
      <x:c r="A27" s="89" t="str">
        <x:v>Kruesi2013_ce_GROcap</x:v>
      </x:c>
      <x:c r="B27" s="89" t="str">
        <x:v>GSE43085</x:v>
      </x:c>
      <x:c r="C27" s="89" t="str">
        <x:v>PRJNA184363</x:v>
      </x:c>
      <x:c r="D27" s="89" t="str">
        <x:v>SRP017636</x:v>
      </x:c>
      <x:c r="E27" s="89" t="str">
        <x:v>GSM1056285</x:v>
      </x:c>
      <x:c r="F27" s="89" t="str">
        <x:v>N2 embryo TAP−</x:v>
      </x:c>
      <x:c r="G27" s="89" t="str">
        <x:v>SRX212228</x:v>
      </x:c>
      <x:c r="H27" s="89" t="str"/>
      <x:c r="I27" s="89" t="str">
        <x:v>Caenorhabditis elegans</x:v>
      </x:c>
      <x:c r="J27" s="89" t="str">
        <x:v>whole-animal/embryo material</x:v>
      </x:c>
      <x:c r="K27" s="89" t="str">
        <x:v>N2</x:v>
      </x:c>
      <x:c r="L27" s="89" t="str">
        <x:v>embryo</x:v>
      </x:c>
      <x:c r="M27" s="89" t="str">
        <x:v>mixed/not reported</x:v>
      </x:c>
      <x:c r="N27" s="89" t="str">
        <x:v>GRO-cap</x:v>
      </x:c>
      <x:c r="O27" s="89" t="str">
        <x:v>GRO-cap</x:v>
      </x:c>
      <x:c r="P27" s="89" t="str">
        <x:v>TAP−</x:v>
      </x:c>
      <x:c r="Q27" s="89" t="n">
        <x:v>1</x:v>
      </x:c>
      <x:c r="R27" s="89" t="str">
        <x:v>N2 embryo</x:v>
      </x:c>
      <x:c r="S27" s="89" t="str">
        <x:v>single-end (legacy deposit; recheck run)</x:v>
      </x:c>
      <x:c r="T27" s="90" t="str"/>
      <x:c r="U27" s="90" t="str">
        <x:v>https://www.ebi.ac.uk/ena/portal/api/filereport?accession=SRX212228&amp;result=read_run&amp;fields=run_accession,library_layout,fastq_ftp,fastq_md5&amp;format=tsv</x:v>
      </x:c>
      <x:c r="V27" s="89" t="str">
        <x:v>WormBase WS230</x:v>
      </x:c>
      <x:c r="W27" s="89" t="str">
        <x:v>ce11 / WBcel235</x:v>
      </x:c>
      <x:c r="X27" s="89" t="str">
        <x:v>none reported</x:v>
      </x:c>
      <x:c r="Y27" s="89" t="str">
        <x:v>control</x:v>
      </x:c>
      <x:c r="Z27" s="89" t="str">
        <x:v>exclude</x:v>
      </x:c>
      <x:c r="AA27" s="89" t="str">
        <x:v>sample + experiment verified; run unresolved</x:v>
      </x:c>
      <x:c r="AB27" s="89" t="str">
        <x:v>C. elegans trans-splicing makes mature RNA 5′ ends unreliable proxies for transcription initiation; GRO-cap is especially valuable here.</x:v>
      </x:c>
      <x:c r="AC27" s="90" t="str">
        <x:v>https://www.ncbi.nlm.nih.gov/geo/query/acc.cgi?acc=GSM1056285</x:v>
      </x:c>
    </x:row>
    <x:row r="28" ht="63" customHeight="1">
      <x:c r="A28" s="89" t="str">
        <x:v>Kruesi2013_ce_GROcap</x:v>
      </x:c>
      <x:c r="B28" s="89" t="str">
        <x:v>GSE43085</x:v>
      </x:c>
      <x:c r="C28" s="89" t="str">
        <x:v>PRJNA184363</x:v>
      </x:c>
      <x:c r="D28" s="89" t="str">
        <x:v>SRP017636</x:v>
      </x:c>
      <x:c r="E28" s="89" t="str">
        <x:v>GSM1056286</x:v>
      </x:c>
      <x:c r="F28" s="89" t="str">
        <x:v>sdc-2(y93); sdc-2 RNAi embryo TAP+</x:v>
      </x:c>
      <x:c r="G28" s="89" t="str"/>
      <x:c r="H28" s="89" t="str"/>
      <x:c r="I28" s="89" t="str">
        <x:v>Caenorhabditis elegans</x:v>
      </x:c>
      <x:c r="J28" s="89" t="str">
        <x:v>whole-animal/embryo material</x:v>
      </x:c>
      <x:c r="K28" s="89" t="str">
        <x:v>sdc-2(y93); sdc-2 RNAi</x:v>
      </x:c>
      <x:c r="L28" s="89" t="str">
        <x:v>embryo</x:v>
      </x:c>
      <x:c r="M28" s="89" t="str">
        <x:v>mixed/not reported</x:v>
      </x:c>
      <x:c r="N28" s="89" t="str">
        <x:v>GRO-cap</x:v>
      </x:c>
      <x:c r="O28" s="89" t="str">
        <x:v>GRO-cap</x:v>
      </x:c>
      <x:c r="P28" s="89" t="str">
        <x:v>TAP+</x:v>
      </x:c>
      <x:c r="Q28" s="89" t="n">
        <x:v>1</x:v>
      </x:c>
      <x:c r="R28" s="89" t="str">
        <x:v>sdc-2 embryo</x:v>
      </x:c>
      <x:c r="S28" s="89" t="str">
        <x:v>single-end (legacy deposit; recheck run)</x:v>
      </x:c>
      <x:c r="T28" s="90" t="str"/>
      <x:c r="U28" s="90" t="str"/>
      <x:c r="V28" s="89" t="str">
        <x:v>WormBase WS230</x:v>
      </x:c>
      <x:c r="W28" s="89" t="str">
        <x:v>ce11 / WBcel235</x:v>
      </x:c>
      <x:c r="X28" s="89" t="str">
        <x:v>none reported</x:v>
      </x:c>
      <x:c r="Y28" s="89" t="str">
        <x:v>target</x:v>
      </x:c>
      <x:c r="Z28" s="89" t="str">
        <x:v>conditional</x:v>
      </x:c>
      <x:c r="AA28" s="89" t="str">
        <x:v>sample verified; experiment/run unresolved</x:v>
      </x:c>
      <x:c r="AB28" s="89" t="str">
        <x:v>C. elegans trans-splicing makes mature RNA 5′ ends unreliable proxies for transcription initiation; GRO-cap is especially valuable here.</x:v>
      </x:c>
      <x:c r="AC28" s="90" t="str">
        <x:v>https://www.ncbi.nlm.nih.gov/geo/query/acc.cgi?acc=GSM1056286</x:v>
      </x:c>
    </x:row>
    <x:row r="29" ht="63" customHeight="1">
      <x:c r="A29" s="89" t="str">
        <x:v>Kruesi2013_ce_GROcap</x:v>
      </x:c>
      <x:c r="B29" s="89" t="str">
        <x:v>GSE43085</x:v>
      </x:c>
      <x:c r="C29" s="89" t="str">
        <x:v>PRJNA184363</x:v>
      </x:c>
      <x:c r="D29" s="89" t="str">
        <x:v>SRP017636</x:v>
      </x:c>
      <x:c r="E29" s="89" t="str">
        <x:v>GSM1056287</x:v>
      </x:c>
      <x:c r="F29" s="89" t="str">
        <x:v>sdc-2(y93); sdc-2 RNAi embryo TAP−</x:v>
      </x:c>
      <x:c r="G29" s="89" t="str">
        <x:v>SRX212230</x:v>
      </x:c>
      <x:c r="H29" s="89" t="str"/>
      <x:c r="I29" s="89" t="str">
        <x:v>Caenorhabditis elegans</x:v>
      </x:c>
      <x:c r="J29" s="89" t="str">
        <x:v>whole-animal/embryo material</x:v>
      </x:c>
      <x:c r="K29" s="89" t="str">
        <x:v>sdc-2(y93); sdc-2 RNAi</x:v>
      </x:c>
      <x:c r="L29" s="89" t="str">
        <x:v>embryo</x:v>
      </x:c>
      <x:c r="M29" s="89" t="str">
        <x:v>mixed/not reported</x:v>
      </x:c>
      <x:c r="N29" s="89" t="str">
        <x:v>GRO-cap</x:v>
      </x:c>
      <x:c r="O29" s="89" t="str">
        <x:v>GRO-cap</x:v>
      </x:c>
      <x:c r="P29" s="89" t="str">
        <x:v>TAP−</x:v>
      </x:c>
      <x:c r="Q29" s="89" t="n">
        <x:v>1</x:v>
      </x:c>
      <x:c r="R29" s="89" t="str">
        <x:v>sdc-2 embryo</x:v>
      </x:c>
      <x:c r="S29" s="89" t="str">
        <x:v>single-end (legacy deposit; recheck run)</x:v>
      </x:c>
      <x:c r="T29" s="90" t="str"/>
      <x:c r="U29" s="90" t="str">
        <x:v>https://www.ebi.ac.uk/ena/portal/api/filereport?accession=SRX212230&amp;result=read_run&amp;fields=run_accession,library_layout,fastq_ftp,fastq_md5&amp;format=tsv</x:v>
      </x:c>
      <x:c r="V29" s="89" t="str">
        <x:v>WormBase WS230</x:v>
      </x:c>
      <x:c r="W29" s="89" t="str">
        <x:v>ce11 / WBcel235</x:v>
      </x:c>
      <x:c r="X29" s="89" t="str">
        <x:v>none reported</x:v>
      </x:c>
      <x:c r="Y29" s="89" t="str">
        <x:v>control</x:v>
      </x:c>
      <x:c r="Z29" s="89" t="str">
        <x:v>exclude</x:v>
      </x:c>
      <x:c r="AA29" s="89" t="str">
        <x:v>sample + experiment verified; run unresolved</x:v>
      </x:c>
      <x:c r="AB29" s="89" t="str">
        <x:v>C. elegans trans-splicing makes mature RNA 5′ ends unreliable proxies for transcription initiation; GRO-cap is especially valuable here.</x:v>
      </x:c>
      <x:c r="AC29" s="90" t="str">
        <x:v>https://www.ncbi.nlm.nih.gov/geo/query/acc.cgi?acc=GSM1056287</x:v>
      </x:c>
    </x:row>
    <x:row r="30" ht="63" customHeight="1">
      <x:c r="A30" s="89" t="str">
        <x:v>Kruesi2013_ce_GROcap</x:v>
      </x:c>
      <x:c r="B30" s="89" t="str">
        <x:v>GSE43085</x:v>
      </x:c>
      <x:c r="C30" s="89" t="str">
        <x:v>PRJNA184363</x:v>
      </x:c>
      <x:c r="D30" s="89" t="str">
        <x:v>SRP017636</x:v>
      </x:c>
      <x:c r="E30" s="89" t="str">
        <x:v>GSM1056288</x:v>
      </x:c>
      <x:c r="F30" s="89" t="str">
        <x:v>N2 starved L1 TAP+</x:v>
      </x:c>
      <x:c r="G30" s="89" t="str">
        <x:v>SRX212231</x:v>
      </x:c>
      <x:c r="H30" s="89" t="str"/>
      <x:c r="I30" s="89" t="str">
        <x:v>Caenorhabditis elegans</x:v>
      </x:c>
      <x:c r="J30" s="89" t="str">
        <x:v>whole-animal/embryo material</x:v>
      </x:c>
      <x:c r="K30" s="89" t="str">
        <x:v>N2 starved</x:v>
      </x:c>
      <x:c r="L30" s="89" t="str">
        <x:v>L1</x:v>
      </x:c>
      <x:c r="M30" s="89" t="str">
        <x:v>mixed/not reported</x:v>
      </x:c>
      <x:c r="N30" s="89" t="str">
        <x:v>GRO-cap</x:v>
      </x:c>
      <x:c r="O30" s="89" t="str">
        <x:v>GRO-cap</x:v>
      </x:c>
      <x:c r="P30" s="89" t="str">
        <x:v>TAP+</x:v>
      </x:c>
      <x:c r="Q30" s="89" t="n">
        <x:v>1</x:v>
      </x:c>
      <x:c r="R30" s="89" t="str">
        <x:v>N2 starved L1</x:v>
      </x:c>
      <x:c r="S30" s="89" t="str">
        <x:v>single-end (legacy deposit; recheck run)</x:v>
      </x:c>
      <x:c r="T30" s="90" t="str"/>
      <x:c r="U30" s="90" t="str">
        <x:v>https://www.ebi.ac.uk/ena/portal/api/filereport?accession=SRX212231&amp;result=read_run&amp;fields=run_accession,library_layout,fastq_ftp,fastq_md5&amp;format=tsv</x:v>
      </x:c>
      <x:c r="V30" s="89" t="str">
        <x:v>WormBase WS230</x:v>
      </x:c>
      <x:c r="W30" s="89" t="str">
        <x:v>ce11 / WBcel235</x:v>
      </x:c>
      <x:c r="X30" s="89" t="str">
        <x:v>none reported</x:v>
      </x:c>
      <x:c r="Y30" s="89" t="str">
        <x:v>target</x:v>
      </x:c>
      <x:c r="Z30" s="89" t="str">
        <x:v>include</x:v>
      </x:c>
      <x:c r="AA30" s="89" t="str">
        <x:v>sample + experiment verified; run unresolved</x:v>
      </x:c>
      <x:c r="AB30" s="89" t="str">
        <x:v>C. elegans trans-splicing makes mature RNA 5′ ends unreliable proxies for transcription initiation; GRO-cap is especially valuable here.</x:v>
      </x:c>
      <x:c r="AC30" s="90" t="str">
        <x:v>https://www.ncbi.nlm.nih.gov/geo/query/acc.cgi?acc=GSM1056288</x:v>
      </x:c>
    </x:row>
    <x:row r="31" ht="63" customHeight="1">
      <x:c r="A31" s="89" t="str">
        <x:v>Kruesi2013_ce_GROcap</x:v>
      </x:c>
      <x:c r="B31" s="89" t="str">
        <x:v>GSE43085</x:v>
      </x:c>
      <x:c r="C31" s="89" t="str">
        <x:v>PRJNA184363</x:v>
      </x:c>
      <x:c r="D31" s="89" t="str">
        <x:v>SRP017636</x:v>
      </x:c>
      <x:c r="E31" s="89" t="str">
        <x:v>GSM1056289</x:v>
      </x:c>
      <x:c r="F31" s="89" t="str">
        <x:v>N2 starved L1 TAP−</x:v>
      </x:c>
      <x:c r="G31" s="89" t="str">
        <x:v>SRX212232</x:v>
      </x:c>
      <x:c r="H31" s="89" t="str"/>
      <x:c r="I31" s="89" t="str">
        <x:v>Caenorhabditis elegans</x:v>
      </x:c>
      <x:c r="J31" s="89" t="str">
        <x:v>whole-animal/embryo material</x:v>
      </x:c>
      <x:c r="K31" s="89" t="str">
        <x:v>N2 starved</x:v>
      </x:c>
      <x:c r="L31" s="89" t="str">
        <x:v>L1</x:v>
      </x:c>
      <x:c r="M31" s="89" t="str">
        <x:v>mixed/not reported</x:v>
      </x:c>
      <x:c r="N31" s="89" t="str">
        <x:v>GRO-cap</x:v>
      </x:c>
      <x:c r="O31" s="89" t="str">
        <x:v>GRO-cap</x:v>
      </x:c>
      <x:c r="P31" s="89" t="str">
        <x:v>TAP−</x:v>
      </x:c>
      <x:c r="Q31" s="89" t="n">
        <x:v>1</x:v>
      </x:c>
      <x:c r="R31" s="89" t="str">
        <x:v>N2 starved L1</x:v>
      </x:c>
      <x:c r="S31" s="89" t="str">
        <x:v>single-end (legacy deposit; recheck run)</x:v>
      </x:c>
      <x:c r="T31" s="90" t="str"/>
      <x:c r="U31" s="90" t="str">
        <x:v>https://www.ebi.ac.uk/ena/portal/api/filereport?accession=SRX212232&amp;result=read_run&amp;fields=run_accession,library_layout,fastq_ftp,fastq_md5&amp;format=tsv</x:v>
      </x:c>
      <x:c r="V31" s="89" t="str">
        <x:v>WormBase WS230</x:v>
      </x:c>
      <x:c r="W31" s="89" t="str">
        <x:v>ce11 / WBcel235</x:v>
      </x:c>
      <x:c r="X31" s="89" t="str">
        <x:v>none reported</x:v>
      </x:c>
      <x:c r="Y31" s="89" t="str">
        <x:v>control</x:v>
      </x:c>
      <x:c r="Z31" s="89" t="str">
        <x:v>exclude</x:v>
      </x:c>
      <x:c r="AA31" s="89" t="str">
        <x:v>sample + experiment verified; run unresolved</x:v>
      </x:c>
      <x:c r="AB31" s="89" t="str">
        <x:v>C. elegans trans-splicing makes mature RNA 5′ ends unreliable proxies for transcription initiation; GRO-cap is especially valuable here.</x:v>
      </x:c>
      <x:c r="AC31" s="90" t="str">
        <x:v>https://www.ncbi.nlm.nih.gov/geo/query/acc.cgi?acc=GSM1056289</x:v>
      </x:c>
    </x:row>
    <x:row r="32" ht="63" customHeight="1">
      <x:c r="A32" s="89" t="str">
        <x:v>Kruesi2013_ce_GROcap</x:v>
      </x:c>
      <x:c r="B32" s="89" t="str">
        <x:v>GSE43085</x:v>
      </x:c>
      <x:c r="C32" s="89" t="str">
        <x:v>PRJNA184363</x:v>
      </x:c>
      <x:c r="D32" s="89" t="str">
        <x:v>SRP017636</x:v>
      </x:c>
      <x:c r="E32" s="89" t="str">
        <x:v>GSM1056290</x:v>
      </x:c>
      <x:c r="F32" s="89" t="str">
        <x:v>N2 L3 TAP+</x:v>
      </x:c>
      <x:c r="G32" s="89" t="str">
        <x:v>SRX212233</x:v>
      </x:c>
      <x:c r="H32" s="89" t="str"/>
      <x:c r="I32" s="89" t="str">
        <x:v>Caenorhabditis elegans</x:v>
      </x:c>
      <x:c r="J32" s="89" t="str">
        <x:v>whole-animal/embryo material</x:v>
      </x:c>
      <x:c r="K32" s="89" t="str">
        <x:v>N2</x:v>
      </x:c>
      <x:c r="L32" s="89" t="str">
        <x:v>L3</x:v>
      </x:c>
      <x:c r="M32" s="89" t="str">
        <x:v>mixed/not reported</x:v>
      </x:c>
      <x:c r="N32" s="89" t="str">
        <x:v>GRO-cap</x:v>
      </x:c>
      <x:c r="O32" s="89" t="str">
        <x:v>GRO-cap</x:v>
      </x:c>
      <x:c r="P32" s="89" t="str">
        <x:v>TAP+</x:v>
      </x:c>
      <x:c r="Q32" s="89" t="n">
        <x:v>1</x:v>
      </x:c>
      <x:c r="R32" s="89" t="str">
        <x:v>N2 L3</x:v>
      </x:c>
      <x:c r="S32" s="89" t="str">
        <x:v>single-end (legacy deposit; recheck run)</x:v>
      </x:c>
      <x:c r="T32" s="90" t="str"/>
      <x:c r="U32" s="90" t="str">
        <x:v>https://www.ebi.ac.uk/ena/portal/api/filereport?accession=SRX212233&amp;result=read_run&amp;fields=run_accession,library_layout,fastq_ftp,fastq_md5&amp;format=tsv</x:v>
      </x:c>
      <x:c r="V32" s="89" t="str">
        <x:v>WormBase WS230</x:v>
      </x:c>
      <x:c r="W32" s="89" t="str">
        <x:v>ce11 / WBcel235</x:v>
      </x:c>
      <x:c r="X32" s="89" t="str">
        <x:v>none reported</x:v>
      </x:c>
      <x:c r="Y32" s="89" t="str">
        <x:v>target</x:v>
      </x:c>
      <x:c r="Z32" s="89" t="str">
        <x:v>include</x:v>
      </x:c>
      <x:c r="AA32" s="89" t="str">
        <x:v>sample + experiment verified; run unresolved</x:v>
      </x:c>
      <x:c r="AB32" s="89" t="str">
        <x:v>C. elegans trans-splicing makes mature RNA 5′ ends unreliable proxies for transcription initiation; GRO-cap is especially valuable here.</x:v>
      </x:c>
      <x:c r="AC32" s="90" t="str">
        <x:v>https://www.ncbi.nlm.nih.gov/geo/query/acc.cgi?acc=GSM1056290</x:v>
      </x:c>
    </x:row>
    <x:row r="33" ht="63" customHeight="1">
      <x:c r="A33" s="89" t="str">
        <x:v>Kruesi2013_ce_GROcap</x:v>
      </x:c>
      <x:c r="B33" s="89" t="str">
        <x:v>GSE43085</x:v>
      </x:c>
      <x:c r="C33" s="89" t="str">
        <x:v>PRJNA184363</x:v>
      </x:c>
      <x:c r="D33" s="89" t="str">
        <x:v>SRP017636</x:v>
      </x:c>
      <x:c r="E33" s="89" t="str">
        <x:v>GSM1056291</x:v>
      </x:c>
      <x:c r="F33" s="89" t="str">
        <x:v>N2 L3 TAP−</x:v>
      </x:c>
      <x:c r="G33" s="89" t="str">
        <x:v>SRX212234</x:v>
      </x:c>
      <x:c r="H33" s="89" t="str"/>
      <x:c r="I33" s="89" t="str">
        <x:v>Caenorhabditis elegans</x:v>
      </x:c>
      <x:c r="J33" s="89" t="str">
        <x:v>whole-animal/embryo material</x:v>
      </x:c>
      <x:c r="K33" s="89" t="str">
        <x:v>N2</x:v>
      </x:c>
      <x:c r="L33" s="89" t="str">
        <x:v>L3</x:v>
      </x:c>
      <x:c r="M33" s="89" t="str">
        <x:v>mixed/not reported</x:v>
      </x:c>
      <x:c r="N33" s="89" t="str">
        <x:v>GRO-cap</x:v>
      </x:c>
      <x:c r="O33" s="89" t="str">
        <x:v>GRO-cap</x:v>
      </x:c>
      <x:c r="P33" s="89" t="str">
        <x:v>TAP−</x:v>
      </x:c>
      <x:c r="Q33" s="89" t="n">
        <x:v>1</x:v>
      </x:c>
      <x:c r="R33" s="89" t="str">
        <x:v>N2 L3</x:v>
      </x:c>
      <x:c r="S33" s="89" t="str">
        <x:v>single-end (legacy deposit; recheck run)</x:v>
      </x:c>
      <x:c r="T33" s="90" t="str"/>
      <x:c r="U33" s="90" t="str">
        <x:v>https://www.ebi.ac.uk/ena/portal/api/filereport?accession=SRX212234&amp;result=read_run&amp;fields=run_accession,library_layout,fastq_ftp,fastq_md5&amp;format=tsv</x:v>
      </x:c>
      <x:c r="V33" s="89" t="str">
        <x:v>WormBase WS230</x:v>
      </x:c>
      <x:c r="W33" s="89" t="str">
        <x:v>ce11 / WBcel235</x:v>
      </x:c>
      <x:c r="X33" s="89" t="str">
        <x:v>none reported</x:v>
      </x:c>
      <x:c r="Y33" s="89" t="str">
        <x:v>control</x:v>
      </x:c>
      <x:c r="Z33" s="89" t="str">
        <x:v>exclude</x:v>
      </x:c>
      <x:c r="AA33" s="89" t="str">
        <x:v>sample + experiment verified; run unresolved</x:v>
      </x:c>
      <x:c r="AB33" s="89" t="str">
        <x:v>C. elegans trans-splicing makes mature RNA 5′ ends unreliable proxies for transcription initiation; GRO-cap is especially valuable here.</x:v>
      </x:c>
      <x:c r="AC33" s="90" t="str">
        <x:v>https://www.ncbi.nlm.nih.gov/geo/query/acc.cgi?acc=GSM1056291</x:v>
      </x:c>
    </x:row>
    <x:row r="34" ht="63" customHeight="1">
      <x:c r="A34" s="89" t="str">
        <x:v>Booth2016_yeast_PROcap</x:v>
      </x:c>
      <x:c r="B34" s="89" t="str">
        <x:v>GSE76142</x:v>
      </x:c>
      <x:c r="C34" s="89" t="str">
        <x:v>PRJNA306424</x:v>
      </x:c>
      <x:c r="D34" s="89" t="str">
        <x:v>SRP067557</x:v>
      </x:c>
      <x:c r="E34" s="89" t="str">
        <x:v>GSM1974987</x:v>
      </x:c>
      <x:c r="F34" s="89" t="str">
        <x:v>S. cerevisiae WT PROcap</x:v>
      </x:c>
      <x:c r="G34" s="89" t="str">
        <x:v>SRX1490952</x:v>
      </x:c>
      <x:c r="H34" s="89" t="str"/>
      <x:c r="I34" s="89" t="str">
        <x:v>Saccharomyces cerevisiae</x:v>
      </x:c>
      <x:c r="J34" s="89" t="str">
        <x:v>W303a cells</x:v>
      </x:c>
      <x:c r="K34" s="89" t="str">
        <x:v>wild type</x:v>
      </x:c>
      <x:c r="L34" s="89" t="str">
        <x:v>log-phase culture</x:v>
      </x:c>
      <x:c r="M34" s="89" t="str">
        <x:v>mating type/background as reported</x:v>
      </x:c>
      <x:c r="N34" s="89" t="str">
        <x:v>PRO-cap</x:v>
      </x:c>
      <x:c r="O34" s="89" t="str">
        <x:v>PRO-cap</x:v>
      </x:c>
      <x:c r="P34" s="89" t="str">
        <x:v>TAP+ and TAP− libraries bundled under one GEO sample</x:v>
      </x:c>
      <x:c r="Q34" s="89" t="n">
        <x:v>1</x:v>
      </x:c>
      <x:c r="R34" s="89" t="str">
        <x:v>S. cerevisiae WT</x:v>
      </x:c>
      <x:c r="S34" s="89" t="str">
        <x:v>single-end legacy libraries; run-level split unresolved</x:v>
      </x:c>
      <x:c r="T34" s="90" t="str"/>
      <x:c r="U34" s="90" t="str">
        <x:v>https://www.ebi.ac.uk/ena/portal/api/filereport?accession=SRX1490952&amp;result=read_run&amp;fields=run_accession,library_layout,fastq_ftp,fastq_md5&amp;format=tsv</x:v>
      </x:c>
      <x:c r="V34" s="89" t="str">
        <x:v>sacCer3</x:v>
      </x:c>
      <x:c r="W34" s="89" t="str">
        <x:v>sacCer3</x:v>
      </x:c>
      <x:c r="X34" s="89" t="str">
        <x:v>Schizosaccharomyces pombe</x:v>
      </x:c>
      <x:c r="Y34" s="89" t="str">
        <x:v>target</x:v>
      </x:c>
      <x:c r="Z34" s="89" t="str">
        <x:v>conditional</x:v>
      </x:c>
      <x:c r="AA34" s="89" t="str">
        <x:v>sample verified; legacy SRZ inventory and TAP+/TAP− run split unresolved</x:v>
      </x:c>
      <x:c r="AB34" s="89" t="str">
        <x:v>Resolve constituent TAP+ versus TAP− runs before model training; use only TAP+ as target and retain TAP− for QC.</x:v>
      </x:c>
      <x:c r="AC34" s="90" t="str">
        <x:v>https://www.ncbi.nlm.nih.gov/geo/query/acc.cgi?acc=GSM1974987</x:v>
      </x:c>
    </x:row>
    <x:row r="35" ht="63" customHeight="1">
      <x:c r="A35" s="89" t="str">
        <x:v>Booth2016_yeast_PROcap</x:v>
      </x:c>
      <x:c r="B35" s="89" t="str">
        <x:v>GSE76142</x:v>
      </x:c>
      <x:c r="C35" s="89" t="str">
        <x:v>PRJNA306424</x:v>
      </x:c>
      <x:c r="D35" s="89" t="str">
        <x:v>SRP067557</x:v>
      </x:c>
      <x:c r="E35" s="89" t="str">
        <x:v>GSM1974988</x:v>
      </x:c>
      <x:c r="F35" s="89" t="str">
        <x:v>S. pombe WT PROcap</x:v>
      </x:c>
      <x:c r="G35" s="89" t="str"/>
      <x:c r="H35" s="89" t="str"/>
      <x:c r="I35" s="89" t="str">
        <x:v>Schizosaccharomyces pombe</x:v>
      </x:c>
      <x:c r="J35" s="89" t="str">
        <x:v>S. pombe cells</x:v>
      </x:c>
      <x:c r="K35" s="89" t="str">
        <x:v>wild type</x:v>
      </x:c>
      <x:c r="L35" s="89" t="str">
        <x:v>log-phase culture</x:v>
      </x:c>
      <x:c r="M35" s="89" t="str">
        <x:v>mating type/background as reported</x:v>
      </x:c>
      <x:c r="N35" s="89" t="str">
        <x:v>PRO-cap</x:v>
      </x:c>
      <x:c r="O35" s="89" t="str">
        <x:v>PRO-cap</x:v>
      </x:c>
      <x:c r="P35" s="89" t="str">
        <x:v>TAP+ and TAP− libraries bundled under one GEO sample</x:v>
      </x:c>
      <x:c r="Q35" s="89" t="n">
        <x:v>1</x:v>
      </x:c>
      <x:c r="R35" s="89" t="str">
        <x:v>S. pombe WT</x:v>
      </x:c>
      <x:c r="S35" s="89" t="str">
        <x:v>single-end legacy libraries; run-level split unresolved</x:v>
      </x:c>
      <x:c r="T35" s="90" t="str"/>
      <x:c r="U35" s="90" t="str"/>
      <x:c r="V35" s="89" t="str">
        <x:v>ASM294v2</x:v>
      </x:c>
      <x:c r="W35" s="89" t="str">
        <x:v>ASM294v2 or current PomBase reference</x:v>
      </x:c>
      <x:c r="X35" s="89" t="str">
        <x:v>Saccharomyces cerevisiae (reciprocal normalization design reported)</x:v>
      </x:c>
      <x:c r="Y35" s="89" t="str">
        <x:v>target</x:v>
      </x:c>
      <x:c r="Z35" s="89" t="str">
        <x:v>conditional</x:v>
      </x:c>
      <x:c r="AA35" s="89" t="str">
        <x:v>sample verified; legacy SRZ inventory and TAP+/TAP− run split unresolved</x:v>
      </x:c>
      <x:c r="AB35" s="89" t="str">
        <x:v>Resolve constituent TAP+ versus TAP− runs before model training; do not treat reciprocal spike-in as a biological sample.</x:v>
      </x:c>
      <x:c r="AC35" s="90" t="str">
        <x:v>https://www.ncbi.nlm.nih.gov/geo/query/acc.cgi?acc=GSM1974988</x:v>
      </x:c>
    </x:row>
    <x:row r="36" ht="63" customHeight="1">
      <x:c r="A36" s="89" t="str">
        <x:v>Ino80_PROcap_sc</x:v>
      </x:c>
      <x:c r="B36" s="89" t="str">
        <x:v>GSE158622</x:v>
      </x:c>
      <x:c r="C36" s="89" t="str">
        <x:v>PRJNA665997</x:v>
      </x:c>
      <x:c r="D36" s="89" t="str">
        <x:v>SRP285540</x:v>
      </x:c>
      <x:c r="E36" s="89" t="str">
        <x:v>GSM4804521</x:v>
      </x:c>
      <x:c r="F36" s="89" t="str">
        <x:v>PRO-cap control rep1</x:v>
      </x:c>
      <x:c r="G36" s="89" t="str"/>
      <x:c r="H36" s="89" t="str"/>
      <x:c r="I36" s="89" t="str">
        <x:v>Saccharomyces cerevisiae</x:v>
      </x:c>
      <x:c r="J36" s="89" t="str">
        <x:v>yeast culture</x:v>
      </x:c>
      <x:c r="K36" s="89" t="str">
        <x:v>control</x:v>
      </x:c>
      <x:c r="L36" s="89" t="str">
        <x:v>log-phase culture</x:v>
      </x:c>
      <x:c r="M36" s="89" t="str">
        <x:v>not applicable</x:v>
      </x:c>
      <x:c r="N36" s="89" t="str">
        <x:v>PRO-cap</x:v>
      </x:c>
      <x:c r="O36" s="89" t="str">
        <x:v>PRO-cap</x:v>
      </x:c>
      <x:c r="P36" s="89" t="str">
        <x:v>cap-selected target</x:v>
      </x:c>
      <x:c r="Q36" s="89" t="n">
        <x:v>1</x:v>
      </x:c>
      <x:c r="R36" s="89" t="str">
        <x:v>Ino80 study control</x:v>
      </x:c>
      <x:c r="S36" s="89" t="str">
        <x:v>unresolved</x:v>
      </x:c>
      <x:c r="T36" s="90" t="str"/>
      <x:c r="U36" s="90" t="str"/>
      <x:c r="V36" s="89" t="str">
        <x:v>sacCer3</x:v>
      </x:c>
      <x:c r="W36" s="89" t="str">
        <x:v>sacCer3</x:v>
      </x:c>
      <x:c r="X36" s="89" t="str">
        <x:v>Schizosaccharomyces pombe</x:v>
      </x:c>
      <x:c r="Y36" s="89" t="str">
        <x:v>target</x:v>
      </x:c>
      <x:c r="Z36" s="89" t="str">
        <x:v>include</x:v>
      </x:c>
      <x:c r="AA36" s="89" t="str">
        <x:v>sample verified; experiment/run unresolved</x:v>
      </x:c>
      <x:c r="AB36" s="89" t="str">
        <x:v>Replicated wild-type/control baseline.</x:v>
      </x:c>
      <x:c r="AC36" s="90" t="str">
        <x:v>https://www.ncbi.nlm.nih.gov/geo/query/acc.cgi?acc=GSM4804521</x:v>
      </x:c>
    </x:row>
    <x:row r="37" ht="63" customHeight="1">
      <x:c r="A37" s="89" t="str">
        <x:v>Ino80_PROcap_sc</x:v>
      </x:c>
      <x:c r="B37" s="89" t="str">
        <x:v>GSE158622</x:v>
      </x:c>
      <x:c r="C37" s="89" t="str">
        <x:v>PRJNA665997</x:v>
      </x:c>
      <x:c r="D37" s="89" t="str">
        <x:v>SRP285540</x:v>
      </x:c>
      <x:c r="E37" s="89" t="str">
        <x:v>GSM4804522</x:v>
      </x:c>
      <x:c r="F37" s="89" t="str">
        <x:v>PRO-cap control rep2</x:v>
      </x:c>
      <x:c r="G37" s="89" t="str"/>
      <x:c r="H37" s="89" t="str"/>
      <x:c r="I37" s="89" t="str">
        <x:v>Saccharomyces cerevisiae</x:v>
      </x:c>
      <x:c r="J37" s="89" t="str">
        <x:v>yeast culture</x:v>
      </x:c>
      <x:c r="K37" s="89" t="str">
        <x:v>control</x:v>
      </x:c>
      <x:c r="L37" s="89" t="str">
        <x:v>log-phase culture</x:v>
      </x:c>
      <x:c r="M37" s="89" t="str">
        <x:v>not applicable</x:v>
      </x:c>
      <x:c r="N37" s="89" t="str">
        <x:v>PRO-cap</x:v>
      </x:c>
      <x:c r="O37" s="89" t="str">
        <x:v>PRO-cap</x:v>
      </x:c>
      <x:c r="P37" s="89" t="str">
        <x:v>cap-selected target</x:v>
      </x:c>
      <x:c r="Q37" s="89" t="n">
        <x:v>2</x:v>
      </x:c>
      <x:c r="R37" s="89" t="str">
        <x:v>Ino80 study control</x:v>
      </x:c>
      <x:c r="S37" s="89" t="str">
        <x:v>unresolved</x:v>
      </x:c>
      <x:c r="T37" s="90" t="str"/>
      <x:c r="U37" s="90" t="str"/>
      <x:c r="V37" s="89" t="str">
        <x:v>sacCer3</x:v>
      </x:c>
      <x:c r="W37" s="89" t="str">
        <x:v>sacCer3</x:v>
      </x:c>
      <x:c r="X37" s="89" t="str">
        <x:v>Schizosaccharomyces pombe</x:v>
      </x:c>
      <x:c r="Y37" s="89" t="str">
        <x:v>target</x:v>
      </x:c>
      <x:c r="Z37" s="89" t="str">
        <x:v>include</x:v>
      </x:c>
      <x:c r="AA37" s="89" t="str">
        <x:v>sample verified; experiment/run unresolved</x:v>
      </x:c>
      <x:c r="AB37" s="89" t="str">
        <x:v>Replicated wild-type/control baseline.</x:v>
      </x:c>
      <x:c r="AC37" s="90" t="str">
        <x:v>https://www.ncbi.nlm.nih.gov/geo/query/acc.cgi?acc=GSM4804522</x:v>
      </x:c>
    </x:row>
    <x:row r="38" ht="63" customHeight="1">
      <x:c r="A38" s="89" t="str">
        <x:v>Ino80_PROcap_sc</x:v>
      </x:c>
      <x:c r="B38" s="89" t="str">
        <x:v>GSE158622</x:v>
      </x:c>
      <x:c r="C38" s="89" t="str">
        <x:v>PRJNA665997</x:v>
      </x:c>
      <x:c r="D38" s="89" t="str">
        <x:v>SRP285540</x:v>
      </x:c>
      <x:c r="E38" s="89" t="str">
        <x:v>GSM4804523</x:v>
      </x:c>
      <x:c r="F38" s="89" t="str">
        <x:v>PRO-cap Ino80 KD rep1</x:v>
      </x:c>
      <x:c r="G38" s="89" t="str"/>
      <x:c r="H38" s="89" t="str"/>
      <x:c r="I38" s="89" t="str">
        <x:v>Saccharomyces cerevisiae</x:v>
      </x:c>
      <x:c r="J38" s="89" t="str">
        <x:v>yeast culture</x:v>
      </x:c>
      <x:c r="K38" s="89" t="str">
        <x:v>Ino80 depletion</x:v>
      </x:c>
      <x:c r="L38" s="89" t="str">
        <x:v>log-phase culture</x:v>
      </x:c>
      <x:c r="M38" s="89" t="str">
        <x:v>not applicable</x:v>
      </x:c>
      <x:c r="N38" s="89" t="str">
        <x:v>PRO-cap</x:v>
      </x:c>
      <x:c r="O38" s="89" t="str">
        <x:v>PRO-cap</x:v>
      </x:c>
      <x:c r="P38" s="89" t="str">
        <x:v>cap-selected target</x:v>
      </x:c>
      <x:c r="Q38" s="89" t="n">
        <x:v>1</x:v>
      </x:c>
      <x:c r="R38" s="89" t="str">
        <x:v>Ino80 study Ino80 depletion</x:v>
      </x:c>
      <x:c r="S38" s="89" t="str">
        <x:v>unresolved</x:v>
      </x:c>
      <x:c r="T38" s="90" t="str"/>
      <x:c r="U38" s="90" t="str"/>
      <x:c r="V38" s="89" t="str">
        <x:v>sacCer3</x:v>
      </x:c>
      <x:c r="W38" s="89" t="str">
        <x:v>sacCer3</x:v>
      </x:c>
      <x:c r="X38" s="89" t="str">
        <x:v>Schizosaccharomyces pombe</x:v>
      </x:c>
      <x:c r="Y38" s="89" t="str">
        <x:v>target</x:v>
      </x:c>
      <x:c r="Z38" s="89" t="str">
        <x:v>conditional</x:v>
      </x:c>
      <x:c r="AA38" s="89" t="str">
        <x:v>sample verified; experiment/run unresolved</x:v>
      </x:c>
      <x:c r="AB38" s="89" t="str">
        <x:v>Replicated perturbation; include with condition label or separate modeling head.</x:v>
      </x:c>
      <x:c r="AC38" s="90" t="str">
        <x:v>https://www.ncbi.nlm.nih.gov/geo/query/acc.cgi?acc=GSM4804523</x:v>
      </x:c>
    </x:row>
    <x:row r="39" ht="63" customHeight="1">
      <x:c r="A39" s="89" t="str">
        <x:v>Ino80_PROcap_sc</x:v>
      </x:c>
      <x:c r="B39" s="89" t="str">
        <x:v>GSE158622</x:v>
      </x:c>
      <x:c r="C39" s="89" t="str">
        <x:v>PRJNA665997</x:v>
      </x:c>
      <x:c r="D39" s="89" t="str">
        <x:v>SRP285540</x:v>
      </x:c>
      <x:c r="E39" s="89" t="str">
        <x:v>GSM4804524</x:v>
      </x:c>
      <x:c r="F39" s="89" t="str">
        <x:v>PRO-cap Ino80 KD rep2</x:v>
      </x:c>
      <x:c r="G39" s="89" t="str"/>
      <x:c r="H39" s="89" t="str"/>
      <x:c r="I39" s="89" t="str">
        <x:v>Saccharomyces cerevisiae</x:v>
      </x:c>
      <x:c r="J39" s="89" t="str">
        <x:v>yeast culture</x:v>
      </x:c>
      <x:c r="K39" s="89" t="str">
        <x:v>Ino80 depletion</x:v>
      </x:c>
      <x:c r="L39" s="89" t="str">
        <x:v>log-phase culture</x:v>
      </x:c>
      <x:c r="M39" s="89" t="str">
        <x:v>not applicable</x:v>
      </x:c>
      <x:c r="N39" s="89" t="str">
        <x:v>PRO-cap</x:v>
      </x:c>
      <x:c r="O39" s="89" t="str">
        <x:v>PRO-cap</x:v>
      </x:c>
      <x:c r="P39" s="89" t="str">
        <x:v>cap-selected target</x:v>
      </x:c>
      <x:c r="Q39" s="89" t="n">
        <x:v>2</x:v>
      </x:c>
      <x:c r="R39" s="89" t="str">
        <x:v>Ino80 study Ino80 depletion</x:v>
      </x:c>
      <x:c r="S39" s="89" t="str">
        <x:v>unresolved</x:v>
      </x:c>
      <x:c r="T39" s="90" t="str"/>
      <x:c r="U39" s="90" t="str"/>
      <x:c r="V39" s="89" t="str">
        <x:v>sacCer3</x:v>
      </x:c>
      <x:c r="W39" s="89" t="str">
        <x:v>sacCer3</x:v>
      </x:c>
      <x:c r="X39" s="89" t="str">
        <x:v>Schizosaccharomyces pombe</x:v>
      </x:c>
      <x:c r="Y39" s="89" t="str">
        <x:v>target</x:v>
      </x:c>
      <x:c r="Z39" s="89" t="str">
        <x:v>conditional</x:v>
      </x:c>
      <x:c r="AA39" s="89" t="str">
        <x:v>sample verified; experiment/run unresolved</x:v>
      </x:c>
      <x:c r="AB39" s="89" t="str">
        <x:v>Replicated perturbation; include with condition label or separate modeling head.</x:v>
      </x:c>
      <x:c r="AC39" s="90" t="str">
        <x:v>https://www.ncbi.nlm.nih.gov/geo/query/acc.cgi?acc=GSM4804524</x:v>
      </x:c>
    </x:row>
    <x:row r="40" ht="63" customHeight="1">
      <x:c r="A40" s="89" t="str">
        <x:v>Spt5_PROcap_sc</x:v>
      </x:c>
      <x:c r="B40" s="89" t="str">
        <x:v>GSE267734</x:v>
      </x:c>
      <x:c r="C40" s="89" t="str">
        <x:v>PRJNA1105209</x:v>
      </x:c>
      <x:c r="D40" s="89" t="str"/>
      <x:c r="E40" s="89" t="str">
        <x:v>GSM8274823</x:v>
      </x:c>
      <x:c r="F40" s="89" t="str">
        <x:v>CAP_SPT5_EtOH_1h_rep1</x:v>
      </x:c>
      <x:c r="G40" s="89" t="str"/>
      <x:c r="H40" s="89" t="str"/>
      <x:c r="I40" s="89" t="str">
        <x:v>Saccharomyces cerevisiae</x:v>
      </x:c>
      <x:c r="J40" s="89" t="str">
        <x:v>Spt5-AID yeast culture</x:v>
      </x:c>
      <x:c r="K40" s="89" t="str">
        <x:v>EtOH 1 h control</x:v>
      </x:c>
      <x:c r="L40" s="89" t="str">
        <x:v>log-phase culture</x:v>
      </x:c>
      <x:c r="M40" s="89" t="str">
        <x:v>not applicable</x:v>
      </x:c>
      <x:c r="N40" s="89" t="str">
        <x:v>PRO-cap / CAP</x:v>
      </x:c>
      <x:c r="O40" s="89" t="str">
        <x:v>PRO-cap</x:v>
      </x:c>
      <x:c r="P40" s="89" t="str">
        <x:v>cap-selected target</x:v>
      </x:c>
      <x:c r="Q40" s="89" t="n">
        <x:v>1</x:v>
      </x:c>
      <x:c r="R40" s="89" t="str">
        <x:v>Spt5 EtOH 1 h</x:v>
      </x:c>
      <x:c r="S40" s="89" t="str">
        <x:v>unresolved; 10-nt UMI in 3′ adaptor</x:v>
      </x:c>
      <x:c r="T40" s="90" t="str"/>
      <x:c r="U40" s="90" t="str"/>
      <x:c r="V40" s="89" t="str">
        <x:v>sacCer3 + SpombeASMv2</x:v>
      </x:c>
      <x:c r="W40" s="89" t="str">
        <x:v>sacCer3</x:v>
      </x:c>
      <x:c r="X40" s="89" t="str">
        <x:v>Schizosaccharomyces pombe</x:v>
      </x:c>
      <x:c r="Y40" s="89" t="str">
        <x:v>target</x:v>
      </x:c>
      <x:c r="Z40" s="89" t="str">
        <x:v>include</x:v>
      </x:c>
      <x:c r="AA40" s="89" t="str">
        <x:v>sample verified; experiment/run unresolved</x:v>
      </x:c>
      <x:c r="AB40" s="89" t="str">
        <x:v>Matched vehicle control; two biological replicates.</x:v>
      </x:c>
      <x:c r="AC40" s="90" t="str">
        <x:v>https://www.ncbi.nlm.nih.gov/geo/query/acc.cgi?acc=GSM8274823</x:v>
      </x:c>
    </x:row>
    <x:row r="41" ht="63" customHeight="1">
      <x:c r="A41" s="89" t="str">
        <x:v>Spt5_PROcap_sc</x:v>
      </x:c>
      <x:c r="B41" s="89" t="str">
        <x:v>GSE267734</x:v>
      </x:c>
      <x:c r="C41" s="89" t="str">
        <x:v>PRJNA1105209</x:v>
      </x:c>
      <x:c r="D41" s="89" t="str"/>
      <x:c r="E41" s="89" t="str">
        <x:v>GSM8274824</x:v>
      </x:c>
      <x:c r="F41" s="89" t="str">
        <x:v>CAP_SPT5_IAA_1h_rep1</x:v>
      </x:c>
      <x:c r="G41" s="89" t="str"/>
      <x:c r="H41" s="89" t="str"/>
      <x:c r="I41" s="89" t="str">
        <x:v>Saccharomyces cerevisiae</x:v>
      </x:c>
      <x:c r="J41" s="89" t="str">
        <x:v>Spt5-AID yeast culture</x:v>
      </x:c>
      <x:c r="K41" s="89" t="str">
        <x:v>IAA 1 h; Spt5 depletion</x:v>
      </x:c>
      <x:c r="L41" s="89" t="str">
        <x:v>log-phase culture</x:v>
      </x:c>
      <x:c r="M41" s="89" t="str">
        <x:v>not applicable</x:v>
      </x:c>
      <x:c r="N41" s="89" t="str">
        <x:v>PRO-cap / CAP</x:v>
      </x:c>
      <x:c r="O41" s="89" t="str">
        <x:v>PRO-cap</x:v>
      </x:c>
      <x:c r="P41" s="89" t="str">
        <x:v>cap-selected target</x:v>
      </x:c>
      <x:c r="Q41" s="89" t="n">
        <x:v>1</x:v>
      </x:c>
      <x:c r="R41" s="89" t="str">
        <x:v>Spt5 IAA 1 h</x:v>
      </x:c>
      <x:c r="S41" s="89" t="str">
        <x:v>unresolved; 10-nt UMI in 3′ adaptor</x:v>
      </x:c>
      <x:c r="T41" s="90" t="str"/>
      <x:c r="U41" s="90" t="str"/>
      <x:c r="V41" s="89" t="str">
        <x:v>sacCer3 + SpombeASMv2</x:v>
      </x:c>
      <x:c r="W41" s="89" t="str">
        <x:v>sacCer3</x:v>
      </x:c>
      <x:c r="X41" s="89" t="str">
        <x:v>Schizosaccharomyces pombe</x:v>
      </x:c>
      <x:c r="Y41" s="89" t="str">
        <x:v>target</x:v>
      </x:c>
      <x:c r="Z41" s="89" t="str">
        <x:v>conditional</x:v>
      </x:c>
      <x:c r="AA41" s="89" t="str">
        <x:v>sample verified; experiment/run unresolved</x:v>
      </x:c>
      <x:c r="AB41" s="89" t="str">
        <x:v>Depletion perturbation; UMI must be parsed/removed consistently before alignment.</x:v>
      </x:c>
      <x:c r="AC41" s="90" t="str">
        <x:v>https://www.ncbi.nlm.nih.gov/geo/query/acc.cgi?acc=GSM8274824</x:v>
      </x:c>
    </x:row>
    <x:row r="42" ht="63" customHeight="1">
      <x:c r="A42" s="89" t="str">
        <x:v>Spt5_PROcap_sc</x:v>
      </x:c>
      <x:c r="B42" s="89" t="str">
        <x:v>GSE267734</x:v>
      </x:c>
      <x:c r="C42" s="89" t="str">
        <x:v>PRJNA1105209</x:v>
      </x:c>
      <x:c r="D42" s="89" t="str"/>
      <x:c r="E42" s="89" t="str">
        <x:v>GSM8274825</x:v>
      </x:c>
      <x:c r="F42" s="89" t="str">
        <x:v>CAP_SPT5_IAA_4h_rep1</x:v>
      </x:c>
      <x:c r="G42" s="89" t="str">
        <x:v>SRX24562536</x:v>
      </x:c>
      <x:c r="H42" s="89" t="str"/>
      <x:c r="I42" s="89" t="str">
        <x:v>Saccharomyces cerevisiae</x:v>
      </x:c>
      <x:c r="J42" s="89" t="str">
        <x:v>Spt5-AID yeast culture</x:v>
      </x:c>
      <x:c r="K42" s="89" t="str">
        <x:v>IAA 4 h; Spt5 depletion</x:v>
      </x:c>
      <x:c r="L42" s="89" t="str">
        <x:v>log-phase culture</x:v>
      </x:c>
      <x:c r="M42" s="89" t="str">
        <x:v>not applicable</x:v>
      </x:c>
      <x:c r="N42" s="89" t="str">
        <x:v>PRO-cap / CAP</x:v>
      </x:c>
      <x:c r="O42" s="89" t="str">
        <x:v>PRO-cap</x:v>
      </x:c>
      <x:c r="P42" s="89" t="str">
        <x:v>cap-selected target</x:v>
      </x:c>
      <x:c r="Q42" s="89" t="n">
        <x:v>1</x:v>
      </x:c>
      <x:c r="R42" s="89" t="str">
        <x:v>Spt5 IAA 4 h</x:v>
      </x:c>
      <x:c r="S42" s="89" t="str">
        <x:v>unresolved; 10-nt UMI in 3′ adaptor</x:v>
      </x:c>
      <x:c r="T42" s="90" t="str"/>
      <x:c r="U42" s="90" t="str">
        <x:v>https://www.ebi.ac.uk/ena/portal/api/filereport?accession=SRX24562536&amp;result=read_run&amp;fields=run_accession,library_layout,fastq_ftp,fastq_md5&amp;format=tsv</x:v>
      </x:c>
      <x:c r="V42" s="89" t="str">
        <x:v>sacCer3 + SpombeASMv2</x:v>
      </x:c>
      <x:c r="W42" s="89" t="str">
        <x:v>sacCer3</x:v>
      </x:c>
      <x:c r="X42" s="89" t="str">
        <x:v>Schizosaccharomyces pombe</x:v>
      </x:c>
      <x:c r="Y42" s="89" t="str">
        <x:v>target</x:v>
      </x:c>
      <x:c r="Z42" s="89" t="str">
        <x:v>conditional</x:v>
      </x:c>
      <x:c r="AA42" s="89" t="str">
        <x:v>sample + experiment verified; run unresolved</x:v>
      </x:c>
      <x:c r="AB42" s="89" t="str">
        <x:v>Depletion perturbation; UMI must be parsed/removed consistently before alignment.</x:v>
      </x:c>
      <x:c r="AC42" s="90" t="str">
        <x:v>https://www.ncbi.nlm.nih.gov/geo/query/acc.cgi?acc=GSM8274825</x:v>
      </x:c>
    </x:row>
    <x:row r="43" ht="63" customHeight="1">
      <x:c r="A43" s="89" t="str">
        <x:v>Spt5_PROcap_sc</x:v>
      </x:c>
      <x:c r="B43" s="89" t="str">
        <x:v>GSE267734</x:v>
      </x:c>
      <x:c r="C43" s="89" t="str">
        <x:v>PRJNA1105209</x:v>
      </x:c>
      <x:c r="D43" s="89" t="str"/>
      <x:c r="E43" s="89" t="str">
        <x:v>GSM8274826</x:v>
      </x:c>
      <x:c r="F43" s="89" t="str">
        <x:v>CAP_SPT5_EtOH_1h_rep2</x:v>
      </x:c>
      <x:c r="G43" s="89" t="str"/>
      <x:c r="H43" s="89" t="str"/>
      <x:c r="I43" s="89" t="str">
        <x:v>Saccharomyces cerevisiae</x:v>
      </x:c>
      <x:c r="J43" s="89" t="str">
        <x:v>Spt5-AID yeast culture</x:v>
      </x:c>
      <x:c r="K43" s="89" t="str">
        <x:v>EtOH 1 h control</x:v>
      </x:c>
      <x:c r="L43" s="89" t="str">
        <x:v>log-phase culture</x:v>
      </x:c>
      <x:c r="M43" s="89" t="str">
        <x:v>not applicable</x:v>
      </x:c>
      <x:c r="N43" s="89" t="str">
        <x:v>PRO-cap / CAP</x:v>
      </x:c>
      <x:c r="O43" s="89" t="str">
        <x:v>PRO-cap</x:v>
      </x:c>
      <x:c r="P43" s="89" t="str">
        <x:v>cap-selected target</x:v>
      </x:c>
      <x:c r="Q43" s="89" t="n">
        <x:v>2</x:v>
      </x:c>
      <x:c r="R43" s="89" t="str">
        <x:v>Spt5 EtOH 1 h</x:v>
      </x:c>
      <x:c r="S43" s="89" t="str">
        <x:v>unresolved; 10-nt UMI in 3′ adaptor</x:v>
      </x:c>
      <x:c r="T43" s="90" t="str"/>
      <x:c r="U43" s="90" t="str"/>
      <x:c r="V43" s="89" t="str">
        <x:v>sacCer3 + SpombeASMv2</x:v>
      </x:c>
      <x:c r="W43" s="89" t="str">
        <x:v>sacCer3</x:v>
      </x:c>
      <x:c r="X43" s="89" t="str">
        <x:v>Schizosaccharomyces pombe</x:v>
      </x:c>
      <x:c r="Y43" s="89" t="str">
        <x:v>target</x:v>
      </x:c>
      <x:c r="Z43" s="89" t="str">
        <x:v>include</x:v>
      </x:c>
      <x:c r="AA43" s="89" t="str">
        <x:v>sample verified; experiment/run unresolved</x:v>
      </x:c>
      <x:c r="AB43" s="89" t="str">
        <x:v>Matched vehicle control; two biological replicates.</x:v>
      </x:c>
      <x:c r="AC43" s="90" t="str">
        <x:v>https://www.ncbi.nlm.nih.gov/geo/query/acc.cgi?acc=GSM8274826</x:v>
      </x:c>
    </x:row>
    <x:row r="44" ht="63" customHeight="1">
      <x:c r="A44" s="89" t="str">
        <x:v>Spt5_PROcap_sc</x:v>
      </x:c>
      <x:c r="B44" s="89" t="str">
        <x:v>GSE267734</x:v>
      </x:c>
      <x:c r="C44" s="89" t="str">
        <x:v>PRJNA1105209</x:v>
      </x:c>
      <x:c r="D44" s="89" t="str"/>
      <x:c r="E44" s="89" t="str">
        <x:v>GSM8274827</x:v>
      </x:c>
      <x:c r="F44" s="89" t="str">
        <x:v>CAP_SPT5_IAA_1h_rep2</x:v>
      </x:c>
      <x:c r="G44" s="89" t="str"/>
      <x:c r="H44" s="89" t="str"/>
      <x:c r="I44" s="89" t="str">
        <x:v>Saccharomyces cerevisiae</x:v>
      </x:c>
      <x:c r="J44" s="89" t="str">
        <x:v>Spt5-AID yeast culture</x:v>
      </x:c>
      <x:c r="K44" s="89" t="str">
        <x:v>IAA 1 h; Spt5 depletion</x:v>
      </x:c>
      <x:c r="L44" s="89" t="str">
        <x:v>log-phase culture</x:v>
      </x:c>
      <x:c r="M44" s="89" t="str">
        <x:v>not applicable</x:v>
      </x:c>
      <x:c r="N44" s="89" t="str">
        <x:v>PRO-cap / CAP</x:v>
      </x:c>
      <x:c r="O44" s="89" t="str">
        <x:v>PRO-cap</x:v>
      </x:c>
      <x:c r="P44" s="89" t="str">
        <x:v>cap-selected target</x:v>
      </x:c>
      <x:c r="Q44" s="89" t="n">
        <x:v>2</x:v>
      </x:c>
      <x:c r="R44" s="89" t="str">
        <x:v>Spt5 IAA 1 h</x:v>
      </x:c>
      <x:c r="S44" s="89" t="str">
        <x:v>unresolved; 10-nt UMI in 3′ adaptor</x:v>
      </x:c>
      <x:c r="T44" s="90" t="str"/>
      <x:c r="U44" s="90" t="str"/>
      <x:c r="V44" s="89" t="str">
        <x:v>sacCer3 + SpombeASMv2</x:v>
      </x:c>
      <x:c r="W44" s="89" t="str">
        <x:v>sacCer3</x:v>
      </x:c>
      <x:c r="X44" s="89" t="str">
        <x:v>Schizosaccharomyces pombe</x:v>
      </x:c>
      <x:c r="Y44" s="89" t="str">
        <x:v>target</x:v>
      </x:c>
      <x:c r="Z44" s="89" t="str">
        <x:v>conditional</x:v>
      </x:c>
      <x:c r="AA44" s="89" t="str">
        <x:v>sample verified; experiment/run unresolved</x:v>
      </x:c>
      <x:c r="AB44" s="89" t="str">
        <x:v>Depletion perturbation; UMI must be parsed/removed consistently before alignment.</x:v>
      </x:c>
      <x:c r="AC44" s="90" t="str">
        <x:v>https://www.ncbi.nlm.nih.gov/geo/query/acc.cgi?acc=GSM8274827</x:v>
      </x:c>
    </x:row>
    <x:row r="45" ht="63" customHeight="1">
      <x:c r="A45" s="89" t="str">
        <x:v>Spt5_PROcap_sc</x:v>
      </x:c>
      <x:c r="B45" s="89" t="str">
        <x:v>GSE267734</x:v>
      </x:c>
      <x:c r="C45" s="89" t="str">
        <x:v>PRJNA1105209</x:v>
      </x:c>
      <x:c r="D45" s="89" t="str"/>
      <x:c r="E45" s="89" t="str">
        <x:v>GSM8274828</x:v>
      </x:c>
      <x:c r="F45" s="89" t="str">
        <x:v>CAP_SPT5_IAA_4h_rep2</x:v>
      </x:c>
      <x:c r="G45" s="89" t="str"/>
      <x:c r="H45" s="89" t="str"/>
      <x:c r="I45" s="89" t="str">
        <x:v>Saccharomyces cerevisiae</x:v>
      </x:c>
      <x:c r="J45" s="89" t="str">
        <x:v>Spt5-AID yeast culture</x:v>
      </x:c>
      <x:c r="K45" s="89" t="str">
        <x:v>IAA 4 h; Spt5 depletion</x:v>
      </x:c>
      <x:c r="L45" s="89" t="str">
        <x:v>log-phase culture</x:v>
      </x:c>
      <x:c r="M45" s="89" t="str">
        <x:v>not applicable</x:v>
      </x:c>
      <x:c r="N45" s="89" t="str">
        <x:v>PRO-cap / CAP</x:v>
      </x:c>
      <x:c r="O45" s="89" t="str">
        <x:v>PRO-cap</x:v>
      </x:c>
      <x:c r="P45" s="89" t="str">
        <x:v>cap-selected target</x:v>
      </x:c>
      <x:c r="Q45" s="89" t="n">
        <x:v>2</x:v>
      </x:c>
      <x:c r="R45" s="89" t="str">
        <x:v>Spt5 IAA 4 h</x:v>
      </x:c>
      <x:c r="S45" s="89" t="str">
        <x:v>unresolved; 10-nt UMI in 3′ adaptor</x:v>
      </x:c>
      <x:c r="T45" s="90" t="str"/>
      <x:c r="U45" s="90" t="str"/>
      <x:c r="V45" s="89" t="str">
        <x:v>sacCer3 + SpombeASMv2</x:v>
      </x:c>
      <x:c r="W45" s="89" t="str">
        <x:v>sacCer3</x:v>
      </x:c>
      <x:c r="X45" s="89" t="str">
        <x:v>Schizosaccharomyces pombe</x:v>
      </x:c>
      <x:c r="Y45" s="89" t="str">
        <x:v>target</x:v>
      </x:c>
      <x:c r="Z45" s="89" t="str">
        <x:v>conditional</x:v>
      </x:c>
      <x:c r="AA45" s="89" t="str">
        <x:v>sample verified; experiment/run unresolved</x:v>
      </x:c>
      <x:c r="AB45" s="89" t="str">
        <x:v>Depletion perturbation; UMI must be parsed/removed consistently before alignment.</x:v>
      </x:c>
      <x:c r="AC45" s="90" t="str">
        <x:v>https://www.ncbi.nlm.nih.gov/geo/query/acc.cgi?acc=GSM8274828</x:v>
      </x:c>
    </x:row>
    <x:row r="46" ht="63" customHeight="1">
      <x:c r="A46" s="89" t="str">
        <x:v>Lam2013_mm_BMDM_5GRO</x:v>
      </x:c>
      <x:c r="B46" s="89" t="str">
        <x:v>GSE45914</x:v>
      </x:c>
      <x:c r="C46" s="89" t="str">
        <x:v>PRJNA196871</x:v>
      </x:c>
      <x:c r="D46" s="89" t="str">
        <x:v>SRP021025</x:v>
      </x:c>
      <x:c r="E46" s="89" t="str">
        <x:v>GSM1119599</x:v>
      </x:c>
      <x:c r="F46" s="89" t="str">
        <x:v>BTEV-Ctrl 5′GRO-seq</x:v>
      </x:c>
      <x:c r="G46" s="89" t="str"/>
      <x:c r="H46" s="89" t="str"/>
      <x:c r="I46" s="89" t="str">
        <x:v>Mus musculus</x:v>
      </x:c>
      <x:c r="J46" s="89" t="str">
        <x:v>bone-marrow-derived macrophages</x:v>
      </x:c>
      <x:c r="K46" s="89" t="str">
        <x:v>biotin-tag control</x:v>
      </x:c>
      <x:c r="L46" s="89" t="str">
        <x:v>primary cells</x:v>
      </x:c>
      <x:c r="M46" s="89" t="str">
        <x:v>not reported</x:v>
      </x:c>
      <x:c r="N46" s="89" t="str">
        <x:v>5′GRO-seq</x:v>
      </x:c>
      <x:c r="O46" s="89" t="str">
        <x:v>GRO-cap-equivalent</x:v>
      </x:c>
      <x:c r="P46" s="89" t="str">
        <x:v>5′ capped-end enriched</x:v>
      </x:c>
      <x:c r="Q46" s="89" t="n">
        <x:v>1</x:v>
      </x:c>
      <x:c r="R46" s="89" t="str">
        <x:v>BMDM BTEV-Ctrl</x:v>
      </x:c>
      <x:c r="S46" s="89" t="str">
        <x:v>single-end (legacy deposit; recheck run)</x:v>
      </x:c>
      <x:c r="T46" s="90" t="str"/>
      <x:c r="U46" s="90" t="str"/>
      <x:c r="V46" s="89" t="str">
        <x:v>mm9</x:v>
      </x:c>
      <x:c r="W46" s="89" t="str">
        <x:v>mm39</x:v>
      </x:c>
      <x:c r="X46" s="89" t="str">
        <x:v>none reported</x:v>
      </x:c>
      <x:c r="Y46" s="89" t="str">
        <x:v>target</x:v>
      </x:c>
      <x:c r="Z46" s="89" t="str">
        <x:v>conditional</x:v>
      </x:c>
      <x:c r="AA46" s="89" t="str">
        <x:v>sample verified; legacy SRZ/SRR project inventory not crosswalked</x:v>
      </x:c>
      <x:c r="AB46" s="89" t="str">
        <x:v>Biological condition, not a replicate of the Rev-Erbα sample. Close protocol equivalent rather than canonical GRO-cap.</x:v>
      </x:c>
      <x:c r="AC46" s="90" t="str">
        <x:v>https://www.ncbi.nlm.nih.gov/geo/query/acc.cgi?acc=GSM1119599</x:v>
      </x:c>
    </x:row>
    <x:row r="47" ht="63" customHeight="1">
      <x:c r="A47" s="89" t="str">
        <x:v>Lam2013_mm_BMDM_5GRO</x:v>
      </x:c>
      <x:c r="B47" s="89" t="str">
        <x:v>GSE45914</x:v>
      </x:c>
      <x:c r="C47" s="89" t="str">
        <x:v>PRJNA196871</x:v>
      </x:c>
      <x:c r="D47" s="89" t="str">
        <x:v>SRP021025</x:v>
      </x:c>
      <x:c r="E47" s="89" t="str">
        <x:v>GSM1119600</x:v>
      </x:c>
      <x:c r="F47" s="89" t="str">
        <x:v>BLRP-RevErbα 5′GRO-seq</x:v>
      </x:c>
      <x:c r="G47" s="89" t="str"/>
      <x:c r="H47" s="89" t="str"/>
      <x:c r="I47" s="89" t="str">
        <x:v>Mus musculus</x:v>
      </x:c>
      <x:c r="J47" s="89" t="str">
        <x:v>bone-marrow-derived macrophages</x:v>
      </x:c>
      <x:c r="K47" s="89" t="str">
        <x:v>BLRP-Rev-Erbα</x:v>
      </x:c>
      <x:c r="L47" s="89" t="str">
        <x:v>primary cells</x:v>
      </x:c>
      <x:c r="M47" s="89" t="str">
        <x:v>not reported</x:v>
      </x:c>
      <x:c r="N47" s="89" t="str">
        <x:v>5′GRO-seq</x:v>
      </x:c>
      <x:c r="O47" s="89" t="str">
        <x:v>GRO-cap-equivalent</x:v>
      </x:c>
      <x:c r="P47" s="89" t="str">
        <x:v>5′ capped-end enriched</x:v>
      </x:c>
      <x:c r="Q47" s="89" t="n">
        <x:v>1</x:v>
      </x:c>
      <x:c r="R47" s="89" t="str">
        <x:v>BMDM BLRP-RevErbα</x:v>
      </x:c>
      <x:c r="S47" s="89" t="str">
        <x:v>single-end (legacy deposit; recheck run)</x:v>
      </x:c>
      <x:c r="T47" s="90" t="str"/>
      <x:c r="U47" s="90" t="str"/>
      <x:c r="V47" s="89" t="str">
        <x:v>mm9</x:v>
      </x:c>
      <x:c r="W47" s="89" t="str">
        <x:v>mm39</x:v>
      </x:c>
      <x:c r="X47" s="89" t="str">
        <x:v>none reported</x:v>
      </x:c>
      <x:c r="Y47" s="89" t="str">
        <x:v>target</x:v>
      </x:c>
      <x:c r="Z47" s="89" t="str">
        <x:v>conditional</x:v>
      </x:c>
      <x:c r="AA47" s="89" t="str">
        <x:v>sample verified; legacy SRZ/SRR project inventory not crosswalked</x:v>
      </x:c>
      <x:c r="AB47" s="89" t="str">
        <x:v>Biological condition, not a replicate of the control sample. Model condition explicitly.</x:v>
      </x:c>
      <x:c r="AC47" s="90" t="str">
        <x:v>https://www.ncbi.nlm.nih.gov/geo/query/acc.cgi?acc=GSM1119600</x:v>
      </x:c>
    </x:row>
    <x:row r="48" ht="63" customHeight="1">
      <x:c r="A48" s="89" t="str">
        <x:v>Hetzel2016_at_5GRO</x:v>
      </x:c>
      <x:c r="B48" s="89" t="str">
        <x:v>GSE83108</x:v>
      </x:c>
      <x:c r="C48" s="89" t="str">
        <x:v>PRJNA324774</x:v>
      </x:c>
      <x:c r="D48" s="89" t="str">
        <x:v>SRP076266</x:v>
      </x:c>
      <x:c r="E48" s="89" t="str">
        <x:v>GSM2193123</x:v>
      </x:c>
      <x:c r="F48" s="89" t="str">
        <x:v>5′GRO-seq</x:v>
      </x:c>
      <x:c r="G48" s="89" t="str">
        <x:v>SRX1830040</x:v>
      </x:c>
      <x:c r="H48" s="89" t="str"/>
      <x:c r="I48" s="89" t="str">
        <x:v>Arabidopsis thaliana</x:v>
      </x:c>
      <x:c r="J48" s="89" t="str">
        <x:v>whole seedlings</x:v>
      </x:c>
      <x:c r="K48" s="89" t="str">
        <x:v>Col-0 wild type</x:v>
      </x:c>
      <x:c r="L48" s="89" t="str">
        <x:v>6-day seedlings</x:v>
      </x:c>
      <x:c r="M48" s="89" t="str">
        <x:v>not applicable</x:v>
      </x:c>
      <x:c r="N48" s="89" t="str">
        <x:v>5′GRO-seq</x:v>
      </x:c>
      <x:c r="O48" s="89" t="str">
        <x:v>GRO-cap-equivalent</x:v>
      </x:c>
      <x:c r="P48" s="89" t="str">
        <x:v>RppH-dependent 5′ end capture</x:v>
      </x:c>
      <x:c r="Q48" s="89" t="n">
        <x:v>1</x:v>
      </x:c>
      <x:c r="R48" s="89" t="str">
        <x:v>Col-0 6-day seedlings</x:v>
      </x:c>
      <x:c r="S48" s="89" t="str">
        <x:v>unresolved</x:v>
      </x:c>
      <x:c r="T48" s="90" t="str"/>
      <x:c r="U48" s="90" t="str">
        <x:v>https://www.ebi.ac.uk/ena/portal/api/filereport?accession=SRX1830040&amp;result=read_run&amp;fields=run_accession,library_layout,fastq_ftp,fastq_md5&amp;format=tsv</x:v>
      </x:c>
      <x:c r="V48" s="89" t="str">
        <x:v>TAIR10</x:v>
      </x:c>
      <x:c r="W48" s="89" t="str">
        <x:v>TAIR10</x:v>
      </x:c>
      <x:c r="X48" s="89" t="str">
        <x:v>none reported</x:v>
      </x:c>
      <x:c r="Y48" s="89" t="str">
        <x:v>target</x:v>
      </x:c>
      <x:c r="Z48" s="89" t="str">
        <x:v>conditional</x:v>
      </x:c>
      <x:c r="AA48" s="89" t="str">
        <x:v>sample + experiment verified; run unresolved</x:v>
      </x:c>
      <x:c r="AB48" s="89" t="str">
        <x:v>Single deposited sample; useful cross-kingdom case, but protocol is 5′GRO rather than canonical PRO-cap.</x:v>
      </x:c>
      <x:c r="AC48" s="90" t="str">
        <x:v>https://www.ncbi.nlm.nih.gov/geo/query/acc.cgi?acc=GSM2193123</x:v>
      </x:c>
    </x:row>
    <x:row r="49" ht="63" customHeight="1">
      <x:c r="A49" s="89" t="str">
        <x:v>Link2018_mm_BMDM_GROcap</x:v>
      </x:c>
      <x:c r="B49" s="89" t="str">
        <x:v>GSE109965</x:v>
      </x:c>
      <x:c r="C49" s="89" t="str"/>
      <x:c r="D49" s="89" t="str">
        <x:v>SRP131922</x:v>
      </x:c>
      <x:c r="E49" s="89" t="str">
        <x:v>SRR6660402</x:v>
      </x:c>
      <x:c r="F49" s="89" t="str">
        <x:v>BMDM GRO-cap replicate 2 (verified run)</x:v>
      </x:c>
      <x:c r="G49" s="89" t="str"/>
      <x:c r="H49" s="89" t="str">
        <x:v>SRR6660402</x:v>
      </x:c>
      <x:c r="I49" s="89" t="str">
        <x:v>Mus musculus</x:v>
      </x:c>
      <x:c r="J49" s="89" t="str">
        <x:v>bone-marrow-derived macrophages</x:v>
      </x:c>
      <x:c r="K49" s="89" t="str">
        <x:v>untreated wild-type/control subset</x:v>
      </x:c>
      <x:c r="L49" s="89" t="str">
        <x:v>primary cells</x:v>
      </x:c>
      <x:c r="M49" s="89" t="str">
        <x:v>not reported</x:v>
      </x:c>
      <x:c r="N49" s="89" t="str">
        <x:v>GRO-cap</x:v>
      </x:c>
      <x:c r="O49" s="89" t="str">
        <x:v>GRO-cap</x:v>
      </x:c>
      <x:c r="P49" s="89" t="str">
        <x:v>cap-selected target</x:v>
      </x:c>
      <x:c r="Q49" s="89" t="n">
        <x:v>2</x:v>
      </x:c>
      <x:c r="R49" s="89" t="str">
        <x:v>BMDM control</x:v>
      </x:c>
      <x:c r="S49" s="89" t="str">
        <x:v>single-end, forward (DBNascent)</x:v>
      </x:c>
      <x:c r="T49" s="90" t="str">
        <x:v>https://ftp.sra.ebi.ac.uk/vol1/fastq/SRR666/402/SRR6660402/SRR6660402.fastq.gz</x:v>
      </x:c>
      <x:c r="U49" s="90" t="str">
        <x:v>https://www.ebi.ac.uk/ena/portal/api/filereport?accession=SRR6660402&amp;result=read_run&amp;fields=run_accession,library_layout,fastq_ftp,fastq_md5&amp;format=tsv</x:v>
      </x:c>
      <x:c r="V49" s="89" t="str">
        <x:v>mm10 (study-era)</x:v>
      </x:c>
      <x:c r="W49" s="89" t="str">
        <x:v>mm39</x:v>
      </x:c>
      <x:c r="X49" s="89" t="str">
        <x:v>none reported</x:v>
      </x:c>
      <x:c r="Y49" s="89" t="str">
        <x:v>target</x:v>
      </x:c>
      <x:c r="Z49" s="89" t="str">
        <x:v>conditional</x:v>
      </x:c>
      <x:c r="AA49" s="89" t="str">
        <x:v>run verified; GEO sample crosswalk unresolved; ENA FASTQ path constructed</x:v>
      </x:c>
      <x:c r="AB49" s="89" t="str">
        <x:v>Only the verified replicate-2 run is asserted. Resolve replicate 1 and exact strain/sample mapping before using as a replicate set.</x:v>
      </x:c>
      <x:c r="AC49" s="90" t="str">
        <x:v>https://www.ncbi.nlm.nih.gov/sra?term=SRR6660402</x:v>
      </x:c>
    </x:row>
    <x:row r="50" ht="43.5" customHeight="1">
      <x:c r="A50" s="92" t="str">
        <x:v>Shamie2021_cg_5GRO</x:v>
      </x:c>
      <x:c r="B50" s="92" t="str">
        <x:v>GSE159044</x:v>
      </x:c>
      <x:c r="C50" s="92"/>
      <x:c r="D50" s="92"/>
      <x:c r="E50" s="92" t="str">
        <x:v>GSM4818113</x:v>
      </x:c>
      <x:c r="F50" s="92" t="str">
        <x:v>BMDM1hKLA_GROCap1</x:v>
      </x:c>
      <x:c r="G50" s="92"/>
      <x:c r="H50" s="92"/>
      <x:c r="I50" s="92" t="str">
        <x:v>Cricetulus griseus</x:v>
      </x:c>
      <x:c r="J50" s="92" t="str">
        <x:v>bone-marrow-derived macrophages</x:v>
      </x:c>
      <x:c r="K50" s="92" t="str">
        <x:v>KLA 10 ng/mL, 1 h</x:v>
      </x:c>
      <x:c r="L50" s="92" t="str">
        <x:v>primary cells</x:v>
      </x:c>
      <x:c r="M50" s="92" t="str">
        <x:v>female</x:v>
      </x:c>
      <x:c r="N50" s="92" t="str">
        <x:v>5′GRO-seq / GRO-cap</x:v>
      </x:c>
      <x:c r="O50" s="92" t="str">
        <x:v>GRO-cap-equivalent</x:v>
      </x:c>
      <x:c r="P50" s="92" t="str">
        <x:v>biochemically cap-enriched 5′GRO</x:v>
      </x:c>
      <x:c r="Q50" s="92" t="n">
        <x:v>1</x:v>
      </x:c>
      <x:c r="R50" s="92" t="str">
        <x:v>BMDM KLA 1 h</x:v>
      </x:c>
      <x:c r="S50" s="92" t="str">
        <x:v>single-end, 75 cycles (reported; recheck run)</x:v>
      </x:c>
      <x:c r="T50" s="92"/>
      <x:c r="U50" s="92"/>
      <x:c r="V50" s="92" t="str">
        <x:v>PICR / GCF_003668045.1</x:v>
      </x:c>
      <x:c r="W50" s="92" t="str">
        <x:v>CriGri-PICRH-1.0 / GCF_003668045.3</x:v>
      </x:c>
      <x:c r="X50" s="92" t="str">
        <x:v>none reported</x:v>
      </x:c>
      <x:c r="Y50" s="92" t="str">
        <x:v>target</x:v>
      </x:c>
      <x:c r="Z50" s="94" t="str">
        <x:v>conditional</x:v>
      </x:c>
      <x:c r="AA50" s="92" t="str">
        <x:v>sample verified; experiment/run unresolved</x:v>
      </x:c>
      <x:c r="AB50" s="92" t="str">
        <x:v>True cap-enriched run-on library. The matched ordinary GRO-seq library is an input/background control, not a cap-positive target.</x:v>
      </x:c>
      <x:c r="AC50" s="92" t="str">
        <x:v>https://www.ncbi.nlm.nih.gov/geo/query/acc.cgi?acc=GSM4818113</x:v>
      </x:c>
    </x:row>
    <x:row r="51" ht="43.5" customHeight="1">
      <x:c r="A51" s="92" t="str">
        <x:v>Shamie2021_cg_5GRO</x:v>
      </x:c>
      <x:c r="B51" s="92" t="str">
        <x:v>GSE159044</x:v>
      </x:c>
      <x:c r="C51" s="92"/>
      <x:c r="D51" s="92"/>
      <x:c r="E51" s="92" t="str">
        <x:v>GSM4818114</x:v>
      </x:c>
      <x:c r="F51" s="92" t="str">
        <x:v>BMDMwt_GROCap1</x:v>
      </x:c>
      <x:c r="G51" s="92"/>
      <x:c r="H51" s="92"/>
      <x:c r="I51" s="92" t="str">
        <x:v>Cricetulus griseus</x:v>
      </x:c>
      <x:c r="J51" s="92" t="str">
        <x:v>bone-marrow-derived macrophages</x:v>
      </x:c>
      <x:c r="K51" s="92" t="str">
        <x:v>untreated</x:v>
      </x:c>
      <x:c r="L51" s="92" t="str">
        <x:v>primary cells</x:v>
      </x:c>
      <x:c r="M51" s="92" t="str">
        <x:v>female</x:v>
      </x:c>
      <x:c r="N51" s="92" t="str">
        <x:v>5′GRO-seq / GRO-cap</x:v>
      </x:c>
      <x:c r="O51" s="92" t="str">
        <x:v>GRO-cap-equivalent</x:v>
      </x:c>
      <x:c r="P51" s="92" t="str">
        <x:v>biochemically cap-enriched 5′GRO</x:v>
      </x:c>
      <x:c r="Q51" s="92" t="n">
        <x:v>1</x:v>
      </x:c>
      <x:c r="R51" s="92" t="str">
        <x:v>BMDM untreated</x:v>
      </x:c>
      <x:c r="S51" s="92" t="str">
        <x:v>single-end, 75 cycles (reported; recheck run)</x:v>
      </x:c>
      <x:c r="T51" s="92"/>
      <x:c r="U51" s="92"/>
      <x:c r="V51" s="92" t="str">
        <x:v>PICR / GCF_003668045.1</x:v>
      </x:c>
      <x:c r="W51" s="92" t="str">
        <x:v>CriGri-PICRH-1.0 / GCF_003668045.3</x:v>
      </x:c>
      <x:c r="X51" s="92" t="str">
        <x:v>none reported</x:v>
      </x:c>
      <x:c r="Y51" s="92" t="str">
        <x:v>target</x:v>
      </x:c>
      <x:c r="Z51" s="94" t="str">
        <x:v>conditional</x:v>
      </x:c>
      <x:c r="AA51" s="92" t="str">
        <x:v>sample verified; experiment/run unresolved</x:v>
      </x:c>
      <x:c r="AB51" s="92" t="str">
        <x:v>True cap-enriched run-on library. The matched ordinary GRO-seq library is an input/background control, not a cap-positive target.</x:v>
      </x:c>
      <x:c r="AC51" s="92" t="str">
        <x:v>https://www.ncbi.nlm.nih.gov/geo/query/acc.cgi?acc=GSM4818114</x:v>
      </x:c>
    </x:row>
    <x:row r="52" ht="43.5" customHeight="1">
      <x:c r="A52" s="92" t="str">
        <x:v>Shamie2021_cg_5GRO</x:v>
      </x:c>
      <x:c r="B52" s="92" t="str">
        <x:v>GSE159044</x:v>
      </x:c>
      <x:c r="C52" s="92"/>
      <x:c r="D52" s="92"/>
      <x:c r="E52" s="92" t="str">
        <x:v>GSM4818115</x:v>
      </x:c>
      <x:c r="F52" s="92" t="str">
        <x:v>Brain_GROCap1</x:v>
      </x:c>
      <x:c r="G52" s="92"/>
      <x:c r="H52" s="92"/>
      <x:c r="I52" s="92" t="str">
        <x:v>Cricetulus griseus</x:v>
      </x:c>
      <x:c r="J52" s="92" t="str">
        <x:v>brain</x:v>
      </x:c>
      <x:c r="K52" s="92" t="str">
        <x:v>untreated</x:v>
      </x:c>
      <x:c r="L52" s="92" t="str">
        <x:v>not reported</x:v>
      </x:c>
      <x:c r="M52" s="92" t="str">
        <x:v>female</x:v>
      </x:c>
      <x:c r="N52" s="92" t="str">
        <x:v>5′GRO-seq / GRO-cap</x:v>
      </x:c>
      <x:c r="O52" s="92" t="str">
        <x:v>GRO-cap-equivalent</x:v>
      </x:c>
      <x:c r="P52" s="92" t="str">
        <x:v>biochemically cap-enriched 5′GRO</x:v>
      </x:c>
      <x:c r="Q52" s="92" t="n">
        <x:v>1</x:v>
      </x:c>
      <x:c r="R52" s="92" t="str">
        <x:v>brain</x:v>
      </x:c>
      <x:c r="S52" s="92" t="str">
        <x:v>single-end, 75 cycles (reported; recheck run)</x:v>
      </x:c>
      <x:c r="T52" s="92"/>
      <x:c r="U52" s="92"/>
      <x:c r="V52" s="92" t="str">
        <x:v>PICR / GCF_003668045.1</x:v>
      </x:c>
      <x:c r="W52" s="92" t="str">
        <x:v>CriGri-PICRH-1.0 / GCF_003668045.3</x:v>
      </x:c>
      <x:c r="X52" s="92" t="str">
        <x:v>none reported</x:v>
      </x:c>
      <x:c r="Y52" s="92" t="str">
        <x:v>target</x:v>
      </x:c>
      <x:c r="Z52" s="94" t="str">
        <x:v>conditional</x:v>
      </x:c>
      <x:c r="AA52" s="92" t="str">
        <x:v>sample verified; experiment/run unresolved</x:v>
      </x:c>
      <x:c r="AB52" s="92" t="str">
        <x:v>True cap-enriched run-on library. The matched ordinary GRO-seq library is an input/background control, not a cap-positive target.</x:v>
      </x:c>
      <x:c r="AC52" s="92" t="str">
        <x:v>https://www.ncbi.nlm.nih.gov/geo/query/acc.cgi?acc=GSM4818115</x:v>
      </x:c>
    </x:row>
    <x:row r="53" ht="43.5" customHeight="1">
      <x:c r="A53" s="92" t="str">
        <x:v>Shamie2021_cg_5GRO</x:v>
      </x:c>
      <x:c r="B53" s="92" t="str">
        <x:v>GSE159044</x:v>
      </x:c>
      <x:c r="C53" s="92"/>
      <x:c r="D53" s="92"/>
      <x:c r="E53" s="92" t="str">
        <x:v>GSM4818116</x:v>
      </x:c>
      <x:c r="F53" s="92" t="str">
        <x:v>CHO_GROCap1</x:v>
      </x:c>
      <x:c r="G53" s="92"/>
      <x:c r="H53" s="92"/>
      <x:c r="I53" s="92" t="str">
        <x:v>Cricetulus griseus</x:v>
      </x:c>
      <x:c r="J53" s="92" t="str">
        <x:v>CHO-K1 cells</x:v>
      </x:c>
      <x:c r="K53" s="92" t="str">
        <x:v>untreated</x:v>
      </x:c>
      <x:c r="L53" s="92" t="str">
        <x:v>cell culture</x:v>
      </x:c>
      <x:c r="M53" s="92" t="str">
        <x:v>female origin</x:v>
      </x:c>
      <x:c r="N53" s="92" t="str">
        <x:v>5′GRO-seq / GRO-cap</x:v>
      </x:c>
      <x:c r="O53" s="92" t="str">
        <x:v>GRO-cap-equivalent</x:v>
      </x:c>
      <x:c r="P53" s="92" t="str">
        <x:v>biochemically cap-enriched 5′GRO</x:v>
      </x:c>
      <x:c r="Q53" s="92" t="n">
        <x:v>1</x:v>
      </x:c>
      <x:c r="R53" s="92" t="str">
        <x:v>CHO</x:v>
      </x:c>
      <x:c r="S53" s="92" t="str">
        <x:v>single-end, 75 cycles (reported; recheck run)</x:v>
      </x:c>
      <x:c r="T53" s="92"/>
      <x:c r="U53" s="92"/>
      <x:c r="V53" s="92" t="str">
        <x:v>PICR / GCF_003668045.1</x:v>
      </x:c>
      <x:c r="W53" s="92" t="str">
        <x:v>CriGri-PICRH-1.0 / GCF_003668045.3</x:v>
      </x:c>
      <x:c r="X53" s="92" t="str">
        <x:v>none reported</x:v>
      </x:c>
      <x:c r="Y53" s="92" t="str">
        <x:v>target</x:v>
      </x:c>
      <x:c r="Z53" s="94" t="str">
        <x:v>conditional</x:v>
      </x:c>
      <x:c r="AA53" s="92" t="str">
        <x:v>sample verified; experiment/run unresolved</x:v>
      </x:c>
      <x:c r="AB53" s="92" t="str">
        <x:v>True cap-enriched run-on library; replicate 1 of 2. The ordinary GRO-seq libraries remain controls only.</x:v>
      </x:c>
      <x:c r="AC53" s="92" t="str">
        <x:v>https://www.ncbi.nlm.nih.gov/geo/query/acc.cgi?acc=GSM4818116</x:v>
      </x:c>
    </x:row>
    <x:row r="54" ht="43.5" customHeight="1">
      <x:c r="A54" s="92" t="str">
        <x:v>Shamie2021_cg_5GRO</x:v>
      </x:c>
      <x:c r="B54" s="92" t="str">
        <x:v>GSE159044</x:v>
      </x:c>
      <x:c r="C54" s="92"/>
      <x:c r="D54" s="92"/>
      <x:c r="E54" s="92" t="str">
        <x:v>GSM4818117</x:v>
      </x:c>
      <x:c r="F54" s="92" t="str">
        <x:v>CHO_GROCap2</x:v>
      </x:c>
      <x:c r="G54" s="92"/>
      <x:c r="H54" s="92"/>
      <x:c r="I54" s="92" t="str">
        <x:v>Cricetulus griseus</x:v>
      </x:c>
      <x:c r="J54" s="92" t="str">
        <x:v>CHO-K1 cells</x:v>
      </x:c>
      <x:c r="K54" s="92" t="str">
        <x:v>untreated</x:v>
      </x:c>
      <x:c r="L54" s="92" t="str">
        <x:v>cell culture</x:v>
      </x:c>
      <x:c r="M54" s="92" t="str">
        <x:v>female origin</x:v>
      </x:c>
      <x:c r="N54" s="92" t="str">
        <x:v>5′GRO-seq / GRO-cap</x:v>
      </x:c>
      <x:c r="O54" s="92" t="str">
        <x:v>GRO-cap-equivalent</x:v>
      </x:c>
      <x:c r="P54" s="92" t="str">
        <x:v>biochemically cap-enriched 5′GRO</x:v>
      </x:c>
      <x:c r="Q54" s="92" t="n">
        <x:v>2</x:v>
      </x:c>
      <x:c r="R54" s="92" t="str">
        <x:v>CHO</x:v>
      </x:c>
      <x:c r="S54" s="92" t="str">
        <x:v>single-end, 75 cycles (reported; recheck run)</x:v>
      </x:c>
      <x:c r="T54" s="92"/>
      <x:c r="U54" s="92"/>
      <x:c r="V54" s="92" t="str">
        <x:v>PICR / GCF_003668045.1</x:v>
      </x:c>
      <x:c r="W54" s="92" t="str">
        <x:v>CriGri-PICRH-1.0 / GCF_003668045.3</x:v>
      </x:c>
      <x:c r="X54" s="92" t="str">
        <x:v>none reported</x:v>
      </x:c>
      <x:c r="Y54" s="92" t="str">
        <x:v>target</x:v>
      </x:c>
      <x:c r="Z54" s="94" t="str">
        <x:v>conditional</x:v>
      </x:c>
      <x:c r="AA54" s="92" t="str">
        <x:v>sample verified; experiment/run unresolved</x:v>
      </x:c>
      <x:c r="AB54" s="92" t="str">
        <x:v>True cap-enriched run-on library; replicate 2 of 2. The ordinary GRO-seq libraries remain controls only.</x:v>
      </x:c>
      <x:c r="AC54" s="92" t="str">
        <x:v>https://www.ncbi.nlm.nih.gov/geo/query/acc.cgi?acc=GSM4818117</x:v>
      </x:c>
    </x:row>
    <x:row r="55" ht="43.5" customHeight="1">
      <x:c r="A55" s="92" t="str">
        <x:v>Shamie2021_cg_5GRO</x:v>
      </x:c>
      <x:c r="B55" s="92" t="str">
        <x:v>GSE159044</x:v>
      </x:c>
      <x:c r="C55" s="92"/>
      <x:c r="D55" s="92"/>
      <x:c r="E55" s="92" t="str">
        <x:v>GSM4818118</x:v>
      </x:c>
      <x:c r="F55" s="92" t="str">
        <x:v>Kidney_GROCap1</x:v>
      </x:c>
      <x:c r="G55" s="92"/>
      <x:c r="H55" s="92"/>
      <x:c r="I55" s="92" t="str">
        <x:v>Cricetulus griseus</x:v>
      </x:c>
      <x:c r="J55" s="92" t="str">
        <x:v>kidney</x:v>
      </x:c>
      <x:c r="K55" s="92" t="str">
        <x:v>untreated</x:v>
      </x:c>
      <x:c r="L55" s="92" t="str">
        <x:v>not reported</x:v>
      </x:c>
      <x:c r="M55" s="92" t="str">
        <x:v>female</x:v>
      </x:c>
      <x:c r="N55" s="92" t="str">
        <x:v>5′GRO-seq / GRO-cap</x:v>
      </x:c>
      <x:c r="O55" s="92" t="str">
        <x:v>GRO-cap-equivalent</x:v>
      </x:c>
      <x:c r="P55" s="92" t="str">
        <x:v>biochemically cap-enriched 5′GRO</x:v>
      </x:c>
      <x:c r="Q55" s="92" t="n">
        <x:v>1</x:v>
      </x:c>
      <x:c r="R55" s="92" t="str">
        <x:v>kidney</x:v>
      </x:c>
      <x:c r="S55" s="92" t="str">
        <x:v>single-end, 75 cycles (reported; recheck run)</x:v>
      </x:c>
      <x:c r="T55" s="92"/>
      <x:c r="U55" s="92"/>
      <x:c r="V55" s="92" t="str">
        <x:v>PICR / GCF_003668045.1</x:v>
      </x:c>
      <x:c r="W55" s="92" t="str">
        <x:v>CriGri-PICRH-1.0 / GCF_003668045.3</x:v>
      </x:c>
      <x:c r="X55" s="92" t="str">
        <x:v>none reported</x:v>
      </x:c>
      <x:c r="Y55" s="92" t="str">
        <x:v>target</x:v>
      </x:c>
      <x:c r="Z55" s="94" t="str">
        <x:v>conditional</x:v>
      </x:c>
      <x:c r="AA55" s="92" t="str">
        <x:v>sample verified; experiment/run unresolved</x:v>
      </x:c>
      <x:c r="AB55" s="92" t="str">
        <x:v>True cap-enriched run-on library. The matched ordinary GRO-seq library is an input/background control, not a cap-positive target.</x:v>
      </x:c>
      <x:c r="AC55" s="92" t="str">
        <x:v>https://www.ncbi.nlm.nih.gov/geo/query/acc.cgi?acc=GSM4818118</x:v>
      </x:c>
    </x:row>
    <x:row r="56" ht="43.5" customHeight="1">
      <x:c r="A56" s="92" t="str">
        <x:v>Shamie2021_cg_5GRO</x:v>
      </x:c>
      <x:c r="B56" s="92" t="str">
        <x:v>GSE159044</x:v>
      </x:c>
      <x:c r="C56" s="92"/>
      <x:c r="D56" s="92"/>
      <x:c r="E56" s="92" t="str">
        <x:v>GSM4818119</x:v>
      </x:c>
      <x:c r="F56" s="92" t="str">
        <x:v>Liver_GROCap1</x:v>
      </x:c>
      <x:c r="G56" s="92"/>
      <x:c r="H56" s="92"/>
      <x:c r="I56" s="92" t="str">
        <x:v>Cricetulus griseus</x:v>
      </x:c>
      <x:c r="J56" s="92" t="str">
        <x:v>liver</x:v>
      </x:c>
      <x:c r="K56" s="92" t="str">
        <x:v>untreated</x:v>
      </x:c>
      <x:c r="L56" s="92" t="str">
        <x:v>not reported</x:v>
      </x:c>
      <x:c r="M56" s="92" t="str">
        <x:v>female</x:v>
      </x:c>
      <x:c r="N56" s="92" t="str">
        <x:v>5′GRO-seq / GRO-cap</x:v>
      </x:c>
      <x:c r="O56" s="92" t="str">
        <x:v>GRO-cap-equivalent</x:v>
      </x:c>
      <x:c r="P56" s="92" t="str">
        <x:v>biochemically cap-enriched 5′GRO</x:v>
      </x:c>
      <x:c r="Q56" s="92" t="n">
        <x:v>1</x:v>
      </x:c>
      <x:c r="R56" s="92" t="str">
        <x:v>liver</x:v>
      </x:c>
      <x:c r="S56" s="92" t="str">
        <x:v>single-end, 75 cycles (reported; recheck run)</x:v>
      </x:c>
      <x:c r="T56" s="92"/>
      <x:c r="U56" s="92"/>
      <x:c r="V56" s="92" t="str">
        <x:v>PICR / GCF_003668045.1</x:v>
      </x:c>
      <x:c r="W56" s="92" t="str">
        <x:v>CriGri-PICRH-1.0 / GCF_003668045.3</x:v>
      </x:c>
      <x:c r="X56" s="92" t="str">
        <x:v>none reported</x:v>
      </x:c>
      <x:c r="Y56" s="92" t="str">
        <x:v>target</x:v>
      </x:c>
      <x:c r="Z56" s="94" t="str">
        <x:v>conditional</x:v>
      </x:c>
      <x:c r="AA56" s="92" t="str">
        <x:v>sample verified; experiment/run unresolved</x:v>
      </x:c>
      <x:c r="AB56" s="92" t="str">
        <x:v>True cap-enriched run-on library. The matched ordinary GRO-seq library is an input/background control, not a cap-positive target.</x:v>
      </x:c>
      <x:c r="AC56" s="92" t="str">
        <x:v>https://www.ncbi.nlm.nih.gov/geo/query/acc.cgi?acc=GSM4818119</x:v>
      </x:c>
    </x:row>
    <x:row r="57" ht="43.5" customHeight="1">
      <x:c r="A57" s="92" t="str">
        <x:v>Shamie2021_cg_5GRO</x:v>
      </x:c>
      <x:c r="B57" s="92" t="str">
        <x:v>GSE159044</x:v>
      </x:c>
      <x:c r="C57" s="92"/>
      <x:c r="D57" s="92"/>
      <x:c r="E57" s="92" t="str">
        <x:v>GSM4818120</x:v>
      </x:c>
      <x:c r="F57" s="92" t="str">
        <x:v>Lung_GROCap1</x:v>
      </x:c>
      <x:c r="G57" s="92"/>
      <x:c r="H57" s="92"/>
      <x:c r="I57" s="92" t="str">
        <x:v>Cricetulus griseus</x:v>
      </x:c>
      <x:c r="J57" s="92" t="str">
        <x:v>lung</x:v>
      </x:c>
      <x:c r="K57" s="92" t="str">
        <x:v>untreated</x:v>
      </x:c>
      <x:c r="L57" s="92" t="str">
        <x:v>not reported</x:v>
      </x:c>
      <x:c r="M57" s="92" t="str">
        <x:v>female</x:v>
      </x:c>
      <x:c r="N57" s="92" t="str">
        <x:v>5′GRO-seq / GRO-cap</x:v>
      </x:c>
      <x:c r="O57" s="92" t="str">
        <x:v>GRO-cap-equivalent</x:v>
      </x:c>
      <x:c r="P57" s="92" t="str">
        <x:v>biochemically cap-enriched 5′GRO</x:v>
      </x:c>
      <x:c r="Q57" s="92" t="n">
        <x:v>1</x:v>
      </x:c>
      <x:c r="R57" s="92" t="str">
        <x:v>lung</x:v>
      </x:c>
      <x:c r="S57" s="92" t="str">
        <x:v>single-end, 75 cycles (reported; recheck run)</x:v>
      </x:c>
      <x:c r="T57" s="92"/>
      <x:c r="U57" s="92"/>
      <x:c r="V57" s="92" t="str">
        <x:v>PICR / GCF_003668045.1</x:v>
      </x:c>
      <x:c r="W57" s="92" t="str">
        <x:v>CriGri-PICRH-1.0 / GCF_003668045.3</x:v>
      </x:c>
      <x:c r="X57" s="92" t="str">
        <x:v>none reported</x:v>
      </x:c>
      <x:c r="Y57" s="92" t="str">
        <x:v>target</x:v>
      </x:c>
      <x:c r="Z57" s="94" t="str">
        <x:v>conditional</x:v>
      </x:c>
      <x:c r="AA57" s="92" t="str">
        <x:v>sample verified; experiment/run unresolved</x:v>
      </x:c>
      <x:c r="AB57" s="92" t="str">
        <x:v>True cap-enriched run-on library. The matched ordinary GRO-seq library is an input/background control, not a cap-positive target.</x:v>
      </x:c>
      <x:c r="AC57" s="92" t="str">
        <x:v>https://www.ncbi.nlm.nih.gov/geo/query/acc.cgi?acc=GSM4818120</x:v>
      </x:c>
    </x:row>
    <x:row r="58" ht="43.5" customHeight="1">
      <x:c r="A58" s="92" t="str">
        <x:v>McDonald2024_plant_5GRO</x:v>
      </x:c>
      <x:c r="B58" s="92" t="str">
        <x:v>GSE233927</x:v>
      </x:c>
      <x:c r="C58" s="92" t="str">
        <x:v>PRJNA978596</x:v>
      </x:c>
      <x:c r="D58" s="92"/>
      <x:c r="E58" s="92" t="str">
        <x:v>GSM7439223</x:v>
      </x:c>
      <x:c r="F58" s="92" t="str">
        <x:v>Chlamydomonas reinhardtii liquid culture 5GRO-seq r1</x:v>
      </x:c>
      <x:c r="G58" s="92"/>
      <x:c r="H58" s="92"/>
      <x:c r="I58" s="92" t="str">
        <x:v>Chlamydomonas reinhardtii</x:v>
      </x:c>
      <x:c r="J58" s="92" t="str">
        <x:v>liquid culture</x:v>
      </x:c>
      <x:c r="K58" s="92" t="str">
        <x:v>untreated</x:v>
      </x:c>
      <x:c r="L58" s="92" t="str">
        <x:v>late-log culture</x:v>
      </x:c>
      <x:c r="M58" s="92" t="str">
        <x:v>not applicable</x:v>
      </x:c>
      <x:c r="N58" s="92" t="str">
        <x:v>5′GRO-seq</x:v>
      </x:c>
      <x:c r="O58" s="92" t="str">
        <x:v>GRO-cap-equivalent</x:v>
      </x:c>
      <x:c r="P58" s="92" t="str">
        <x:v>RppH-dependent cap-selected 5′GRO</x:v>
      </x:c>
      <x:c r="Q58" s="92" t="n">
        <x:v>1</x:v>
      </x:c>
      <x:c r="R58" s="92" t="str">
        <x:v>C. reinhardtii 5′GRO</x:v>
      </x:c>
      <x:c r="S58" s="92" t="str">
        <x:v>single-end (reported 5′GRO protocol; recheck run)</x:v>
      </x:c>
      <x:c r="T58" s="92"/>
      <x:c r="U58" s="92"/>
      <x:c r="V58" s="92" t="str">
        <x:v>Chlamydomonas_reinhardtii_v5.5</x:v>
      </x:c>
      <x:c r="W58" s="92" t="str">
        <x:v>Chlamydomonas_reinhardtii_v5.5</x:v>
      </x:c>
      <x:c r="X58" s="92" t="str">
        <x:v>none reported</x:v>
      </x:c>
      <x:c r="Y58" s="92" t="str">
        <x:v>target</x:v>
      </x:c>
      <x:c r="Z58" s="94" t="str">
        <x:v>conditional</x:v>
      </x:c>
      <x:c r="AA58" s="92" t="str">
        <x:v>sample verified; experiment/run unresolved</x:v>
      </x:c>
      <x:c r="AB58" s="92" t="str">
        <x:v>True biochemical cap-enrichment by the Hetzel 5′GRO protocol; not classified from a 5′-end track. Matched ordinary GRO-seq is a peak-calling input/control.</x:v>
      </x:c>
      <x:c r="AC58" s="92" t="str">
        <x:v>https://www.ncbi.nlm.nih.gov/geo/query/acc.cgi?acc=GSM7439223</x:v>
      </x:c>
    </x:row>
    <x:row r="59" ht="43.5" customHeight="1">
      <x:c r="A59" s="92" t="str">
        <x:v>McDonald2024_plant_5GRO</x:v>
      </x:c>
      <x:c r="B59" s="92" t="str">
        <x:v>GSE233927</x:v>
      </x:c>
      <x:c r="C59" s="92" t="str">
        <x:v>PRJNA978596</x:v>
      </x:c>
      <x:c r="D59" s="92"/>
      <x:c r="E59" s="92" t="str">
        <x:v>GSM7439224</x:v>
      </x:c>
      <x:c r="F59" s="92" t="str">
        <x:v>Chlamydomonas reinhardtii liquid culture 5GRO-seq r2</x:v>
      </x:c>
      <x:c r="G59" s="92" t="str">
        <x:v>SRX20570355</x:v>
      </x:c>
      <x:c r="H59" s="92"/>
      <x:c r="I59" s="92" t="str">
        <x:v>Chlamydomonas reinhardtii</x:v>
      </x:c>
      <x:c r="J59" s="92" t="str">
        <x:v>liquid culture</x:v>
      </x:c>
      <x:c r="K59" s="92" t="str">
        <x:v>untreated</x:v>
      </x:c>
      <x:c r="L59" s="92" t="str">
        <x:v>late-log culture</x:v>
      </x:c>
      <x:c r="M59" s="92" t="str">
        <x:v>not applicable</x:v>
      </x:c>
      <x:c r="N59" s="92" t="str">
        <x:v>5′GRO-seq</x:v>
      </x:c>
      <x:c r="O59" s="92" t="str">
        <x:v>GRO-cap-equivalent</x:v>
      </x:c>
      <x:c r="P59" s="92" t="str">
        <x:v>RppH-dependent cap-selected 5′GRO</x:v>
      </x:c>
      <x:c r="Q59" s="92" t="n">
        <x:v>2</x:v>
      </x:c>
      <x:c r="R59" s="92" t="str">
        <x:v>C. reinhardtii 5′GRO</x:v>
      </x:c>
      <x:c r="S59" s="92" t="str">
        <x:v>single-end (reported 5′GRO protocol; recheck run)</x:v>
      </x:c>
      <x:c r="T59" s="92"/>
      <x:c r="U59" s="92" t="str">
        <x:v>https://www.ebi.ac.uk/ena/portal/api/filereport?accession=SRX20570355&amp;result=read_run&amp;fields=run_accession,library_layout,fastq_ftp,fastq_md5&amp;format=tsv</x:v>
      </x:c>
      <x:c r="V59" s="92" t="str">
        <x:v>Chlamydomonas_reinhardtii_v5.5</x:v>
      </x:c>
      <x:c r="W59" s="92" t="str">
        <x:v>Chlamydomonas_reinhardtii_v5.5</x:v>
      </x:c>
      <x:c r="X59" s="92" t="str">
        <x:v>none reported</x:v>
      </x:c>
      <x:c r="Y59" s="92" t="str">
        <x:v>target</x:v>
      </x:c>
      <x:c r="Z59" s="94" t="str">
        <x:v>conditional</x:v>
      </x:c>
      <x:c r="AA59" s="92" t="str">
        <x:v>sample + experiment verified; run unresolved</x:v>
      </x:c>
      <x:c r="AB59" s="92" t="str">
        <x:v>True biochemical cap-enrichment by the Hetzel 5′GRO protocol; not classified from a 5′-end track. Matched ordinary GRO-seq is a peak-calling input/control.</x:v>
      </x:c>
      <x:c r="AC59" s="92" t="str">
        <x:v>https://www.ncbi.nlm.nih.gov/geo/query/acc.cgi?acc=GSM7439224</x:v>
      </x:c>
    </x:row>
    <x:row r="60" ht="43.5" customHeight="1">
      <x:c r="A60" s="92" t="str">
        <x:v>McDonald2024_plant_5GRO</x:v>
      </x:c>
      <x:c r="B60" s="92" t="str">
        <x:v>GSE233927</x:v>
      </x:c>
      <x:c r="C60" s="92" t="str">
        <x:v>PRJNA978596</x:v>
      </x:c>
      <x:c r="D60" s="92"/>
      <x:c r="E60" s="92" t="str">
        <x:v>GSM7439241</x:v>
      </x:c>
      <x:c r="F60" s="92" t="str">
        <x:v>Physcomitrella patens plate culture 5GRO-seq r1</x:v>
      </x:c>
      <x:c r="G60" s="92" t="str">
        <x:v>SRX20570372</x:v>
      </x:c>
      <x:c r="H60" s="92"/>
      <x:c r="I60" s="92" t="str">
        <x:v>Physcomitrium patens</x:v>
      </x:c>
      <x:c r="J60" s="92" t="str">
        <x:v>plate culture</x:v>
      </x:c>
      <x:c r="K60" s="92" t="str">
        <x:v>untreated</x:v>
      </x:c>
      <x:c r="L60" s="92" t="str">
        <x:v>plate culture</x:v>
      </x:c>
      <x:c r="M60" s="92" t="str">
        <x:v>not applicable</x:v>
      </x:c>
      <x:c r="N60" s="92" t="str">
        <x:v>5′GRO-seq</x:v>
      </x:c>
      <x:c r="O60" s="92" t="str">
        <x:v>GRO-cap-equivalent</x:v>
      </x:c>
      <x:c r="P60" s="92" t="str">
        <x:v>RppH-dependent cap-selected 5′GRO</x:v>
      </x:c>
      <x:c r="Q60" s="92" t="n">
        <x:v>1</x:v>
      </x:c>
      <x:c r="R60" s="92" t="str">
        <x:v>P. patens 5′GRO</x:v>
      </x:c>
      <x:c r="S60" s="92" t="str">
        <x:v>single-end (reported 5′GRO protocol; recheck run)</x:v>
      </x:c>
      <x:c r="T60" s="92"/>
      <x:c r="U60" s="92" t="str">
        <x:v>https://www.ebi.ac.uk/ena/portal/api/filereport?accession=SRX20570372&amp;result=read_run&amp;fields=run_accession,library_layout,fastq_ftp,fastq_md5&amp;format=tsv</x:v>
      </x:c>
      <x:c r="V60" s="92" t="str">
        <x:v>Phypa V3</x:v>
      </x:c>
      <x:c r="W60" s="92" t="str">
        <x:v>Phypa V3</x:v>
      </x:c>
      <x:c r="X60" s="92" t="str">
        <x:v>none reported</x:v>
      </x:c>
      <x:c r="Y60" s="92" t="str">
        <x:v>target</x:v>
      </x:c>
      <x:c r="Z60" s="94" t="str">
        <x:v>conditional</x:v>
      </x:c>
      <x:c r="AA60" s="92" t="str">
        <x:v>sample + experiment verified; run unresolved</x:v>
      </x:c>
      <x:c r="AB60" s="92" t="str">
        <x:v>True biochemical cap-enrichment by the Hetzel 5′GRO protocol; not classified from a 5′-end track. No ordinary 5′ coordinate convention was used as evidence.</x:v>
      </x:c>
      <x:c r="AC60" s="92" t="str">
        <x:v>https://www.ncbi.nlm.nih.gov/geo/query/acc.cgi?acc=GSM7439241</x:v>
      </x:c>
    </x:row>
    <x:row r="61" ht="43.5" customHeight="1">
      <x:c r="A61" s="92" t="str">
        <x:v>McDonald2024_plant_5GRO</x:v>
      </x:c>
      <x:c r="B61" s="92" t="str">
        <x:v>GSE233927</x:v>
      </x:c>
      <x:c r="C61" s="92" t="str">
        <x:v>PRJNA978596</x:v>
      </x:c>
      <x:c r="D61" s="92"/>
      <x:c r="E61" s="92" t="str">
        <x:v>GSM7439248</x:v>
      </x:c>
      <x:c r="F61" s="92" t="str">
        <x:v>Selaginella moellendorffii stem leaves 5GRO-seq r1</x:v>
      </x:c>
      <x:c r="G61" s="92" t="str">
        <x:v>SRX20570379</x:v>
      </x:c>
      <x:c r="H61" s="92"/>
      <x:c r="I61" s="92" t="str">
        <x:v>Selaginella moellendorffii</x:v>
      </x:c>
      <x:c r="J61" s="92" t="str">
        <x:v>stems and leaves</x:v>
      </x:c>
      <x:c r="K61" s="92" t="str">
        <x:v>untreated</x:v>
      </x:c>
      <x:c r="L61" s="92" t="str">
        <x:v>stems/leaves after 1 week growth</x:v>
      </x:c>
      <x:c r="M61" s="92" t="str">
        <x:v>not applicable</x:v>
      </x:c>
      <x:c r="N61" s="92" t="str">
        <x:v>5′GRO-seq</x:v>
      </x:c>
      <x:c r="O61" s="92" t="str">
        <x:v>GRO-cap-equivalent</x:v>
      </x:c>
      <x:c r="P61" s="92" t="str">
        <x:v>RppH-dependent cap-selected 5′GRO</x:v>
      </x:c>
      <x:c r="Q61" s="92" t="n">
        <x:v>1</x:v>
      </x:c>
      <x:c r="R61" s="92" t="str">
        <x:v>S. moellendorffii 5′GRO</x:v>
      </x:c>
      <x:c r="S61" s="92" t="str">
        <x:v>single-end (reported 5′GRO protocol; recheck run)</x:v>
      </x:c>
      <x:c r="T61" s="92"/>
      <x:c r="U61" s="92" t="str">
        <x:v>https://www.ebi.ac.uk/ena/portal/api/filereport?accession=SRX20570379&amp;result=read_run&amp;fields=run_accession,library_layout,fastq_ftp,fastq_md5&amp;format=tsv</x:v>
      </x:c>
      <x:c r="V61" s="92" t="str">
        <x:v>Selaginella v1.0</x:v>
      </x:c>
      <x:c r="W61" s="92" t="str">
        <x:v>Selaginella v1.0</x:v>
      </x:c>
      <x:c r="X61" s="92" t="str">
        <x:v>none reported</x:v>
      </x:c>
      <x:c r="Y61" s="92" t="str">
        <x:v>target</x:v>
      </x:c>
      <x:c r="Z61" s="94" t="str">
        <x:v>conditional</x:v>
      </x:c>
      <x:c r="AA61" s="92" t="str">
        <x:v>sample + experiment verified; run unresolved</x:v>
      </x:c>
      <x:c r="AB61" s="92" t="str">
        <x:v>True biochemical cap-enrichment by the Hetzel 5′GRO protocol; not classified from a 5′-end track. Matched ordinary GRO-seq is a peak-calling input/control.</x:v>
      </x:c>
      <x:c r="AC61" s="92" t="str">
        <x:v>https://www.ncbi.nlm.nih.gov/geo/query/acc.cgi?acc=GSM7439248</x:v>
      </x:c>
    </x:row>
    <x:row r="62" ht="43.5" customHeight="1">
      <x:c r="A62" s="92" t="str">
        <x:v>Tome2018_mm_CoPRO</x:v>
      </x:c>
      <x:c r="B62" s="92" t="str">
        <x:v>GSE116472</x:v>
      </x:c>
      <x:c r="C62" s="92" t="str">
        <x:v>PRJNA478717</x:v>
      </x:c>
      <x:c r="D62" s="92" t="str">
        <x:v>SRP151707</x:v>
      </x:c>
      <x:c r="E62" s="92" t="str">
        <x:v>GSM3239707</x:v>
      </x:c>
      <x:c r="F62" s="92" t="str">
        <x:v>CoPRO_MEF_Capped_NHS</x:v>
      </x:c>
      <x:c r="G62" s="92" t="str">
        <x:v>SRX4328906</x:v>
      </x:c>
      <x:c r="H62" s="92"/>
      <x:c r="I62" s="92" t="str">
        <x:v>Mus musculus</x:v>
      </x:c>
      <x:c r="J62" s="92" t="str">
        <x:v>mouse embryonic fibroblasts</x:v>
      </x:c>
      <x:c r="K62" s="92" t="str">
        <x:v>no heat shock</x:v>
      </x:c>
      <x:c r="L62" s="92" t="str">
        <x:v>cell culture</x:v>
      </x:c>
      <x:c r="M62" s="92" t="str">
        <x:v>not reported</x:v>
      </x:c>
      <x:c r="N62" s="92" t="str">
        <x:v>CoPRO (capped fraction)</x:v>
      </x:c>
      <x:c r="O62" s="92" t="str">
        <x:v>PRO-cap variant</x:v>
      </x:c>
      <x:c r="P62" s="92" t="str">
        <x:v>Terminator + CIP depletion; RppH decapping</x:v>
      </x:c>
      <x:c r="Q62" s="92" t="n">
        <x:v>1</x:v>
      </x:c>
      <x:c r="R62" s="92" t="str">
        <x:v>MEF non-heat shock</x:v>
      </x:c>
      <x:c r="S62" s="92" t="str">
        <x:v>paired-end; RNA 5′ initiation + Pol II active-site 3′ ends</x:v>
      </x:c>
      <x:c r="T62" s="92"/>
      <x:c r="U62" s="92" t="str">
        <x:v>https://www.ebi.ac.uk/ena/portal/api/filereport?accession=SRX4328906&amp;result=read_run&amp;fields=run_accession,library_layout,fastq_ftp,fastq_md5&amp;format=tsv</x:v>
      </x:c>
      <x:c r="V62" s="92" t="str">
        <x:v>GEO lists hg19; inconsistent with Mus musculus</x:v>
      </x:c>
      <x:c r="W62" s="92" t="str">
        <x:v>mm39</x:v>
      </x:c>
      <x:c r="X62" s="92" t="str">
        <x:v>Drosophila S2 cells, 1:1000</x:v>
      </x:c>
      <x:c r="Y62" s="92" t="str">
        <x:v>target</x:v>
      </x:c>
      <x:c r="Z62" s="94" t="str">
        <x:v>conditional</x:v>
      </x:c>
      <x:c r="AA62" s="92" t="str">
        <x:v>sample + experiment verified; run unresolved</x:v>
      </x:c>
      <x:c r="AB62" s="92" t="str">
        <x:v>Genuine enzymatic cap-state selection in a nascent run-on library. Qualification does not rely on the deposited 5p bigWig filename; one library is present for this condition.</x:v>
      </x:c>
      <x:c r="AC62" s="92" t="str">
        <x:v>https://www.ncbi.nlm.nih.gov/geo/query/acc.cgi?acc=GSM3239707</x:v>
      </x:c>
    </x:row>
    <x:row r="63" ht="43.5" customHeight="1">
      <x:c r="A63" s="92" t="str">
        <x:v>Tome2018_mm_CoPRO</x:v>
      </x:c>
      <x:c r="B63" s="92" t="str">
        <x:v>GSE116472</x:v>
      </x:c>
      <x:c r="C63" s="92" t="str">
        <x:v>PRJNA478717</x:v>
      </x:c>
      <x:c r="D63" s="92" t="str">
        <x:v>SRP151707</x:v>
      </x:c>
      <x:c r="E63" s="92" t="str">
        <x:v>GSM3239708</x:v>
      </x:c>
      <x:c r="F63" s="92" t="str">
        <x:v>CoPRO_MEF_Capped_HS</x:v>
      </x:c>
      <x:c r="G63" s="92" t="str">
        <x:v>SRX4328907</x:v>
      </x:c>
      <x:c r="H63" s="92"/>
      <x:c r="I63" s="92" t="str">
        <x:v>Mus musculus</x:v>
      </x:c>
      <x:c r="J63" s="92" t="str">
        <x:v>mouse embryonic fibroblasts</x:v>
      </x:c>
      <x:c r="K63" s="92" t="str">
        <x:v>60 min heat shock at 42 °C</x:v>
      </x:c>
      <x:c r="L63" s="92" t="str">
        <x:v>cell culture</x:v>
      </x:c>
      <x:c r="M63" s="92" t="str">
        <x:v>not reported</x:v>
      </x:c>
      <x:c r="N63" s="92" t="str">
        <x:v>CoPRO (capped fraction)</x:v>
      </x:c>
      <x:c r="O63" s="92" t="str">
        <x:v>PRO-cap variant</x:v>
      </x:c>
      <x:c r="P63" s="92" t="str">
        <x:v>Terminator + CIP depletion; RppH decapping</x:v>
      </x:c>
      <x:c r="Q63" s="92" t="n">
        <x:v>1</x:v>
      </x:c>
      <x:c r="R63" s="92" t="str">
        <x:v>MEF heat shock</x:v>
      </x:c>
      <x:c r="S63" s="92" t="str">
        <x:v>paired-end; RNA 5′ initiation + Pol II active-site 3′ ends</x:v>
      </x:c>
      <x:c r="T63" s="92"/>
      <x:c r="U63" s="92" t="str">
        <x:v>https://www.ebi.ac.uk/ena/portal/api/filereport?accession=SRX4328907&amp;result=read_run&amp;fields=run_accession,library_layout,fastq_ftp,fastq_md5&amp;format=tsv</x:v>
      </x:c>
      <x:c r="V63" s="92" t="str">
        <x:v>GEO lists hg19; inconsistent with Mus musculus</x:v>
      </x:c>
      <x:c r="W63" s="92" t="str">
        <x:v>mm39</x:v>
      </x:c>
      <x:c r="X63" s="92" t="str">
        <x:v>Drosophila S2 cells, 1:1000</x:v>
      </x:c>
      <x:c r="Y63" s="92" t="str">
        <x:v>target</x:v>
      </x:c>
      <x:c r="Z63" s="94" t="str">
        <x:v>conditional</x:v>
      </x:c>
      <x:c r="AA63" s="92" t="str">
        <x:v>sample + experiment verified; run unresolved</x:v>
      </x:c>
      <x:c r="AB63" s="92" t="str">
        <x:v>Genuine enzymatic cap-state selection in a nascent run-on library. Qualification does not rely on the deposited 5p bigWig filename; one library is present for this condition.</x:v>
      </x:c>
      <x:c r="AC63" s="92" t="str">
        <x:v>https://www.ncbi.nlm.nih.gov/geo/query/acc.cgi?acc=GSM3239708</x:v>
      </x:c>
    </x:row>
  </x:sheetData>
  <x:mergeCells>
    <x:mergeCell ref="A1:AC2"/>
    <x:mergeCell ref="A3:AC3"/>
  </x:mergeCells>
  <x:conditionalFormatting sqref="Z6:Z49">
    <x:cfRule type="containsText" dxfId="2" priority="1" operator="containsText" text="include"/>
    <x:cfRule type="containsText" dxfId="3" priority="2" operator="containsText" text="conditional"/>
    <x:cfRule type="containsText" dxfId="4" priority="3" operator="containsText" text="exclude"/>
  </x:conditionalFormatting>
  <x:conditionalFormatting sqref="Y6:Y49">
    <x:cfRule type="containsText" dxfId="5" priority="4" operator="containsText" text="control"/>
  </x:conditionalFormatting>
  <x:dataValidations count="2">
    <x:dataValidation type="list" sqref="Z6:Z49">
      <x:formula1>"include,conditional,exclude"</x:formula1>
    </x:dataValidation>
    <x:dataValidation type="list" sqref="Z6:Z63">
      <x:formula1>"include,conditional,exclude"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b65c9fc96f44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22" hidden="0" customWidth="1"/>
    <x:col min="4" max="4" width="54" hidden="0" customWidth="1"/>
    <x:col min="5" max="5" width="48" hidden="0" customWidth="1"/>
    <x:col min="6" max="6" width="46" hidden="0" customWidth="1"/>
  </x:cols>
  <x:sheetData>
    <x:row r="1" ht="24" customHeight="1">
      <x:c r="A1" s="60" t="str">
        <x:v>Edge Cases</x:v>
      </x:c>
      <x:c r="B1" s="60" t="str">
        <x:v>Edge Cases</x:v>
      </x:c>
      <x:c r="C1" s="60" t="str">
        <x:v>Edge Cases</x:v>
      </x:c>
      <x:c r="D1" s="60" t="str">
        <x:v>Edge Cases</x:v>
      </x:c>
      <x:c r="E1" s="60" t="str">
        <x:v>Edge Cases</x:v>
      </x:c>
      <x:c r="F1" s="60" t="str">
        <x:v>Edge Cases</x:v>
      </x:c>
    </x:row>
    <x:row r="2" ht="24" customHeight="1">
      <x:c r="A2" s="60" t="str">
        <x:v>Edge Cases</x:v>
      </x:c>
      <x:c r="B2" s="60" t="str">
        <x:v>Edge Cases</x:v>
      </x:c>
      <x:c r="C2" s="60" t="str">
        <x:v>Edge Cases</x:v>
      </x:c>
      <x:c r="D2" s="60" t="str">
        <x:v>Edge Cases</x:v>
      </x:c>
      <x:c r="E2" s="60" t="str">
        <x:v>Edge Cases</x:v>
      </x:c>
      <x:c r="F2" s="60" t="str">
        <x:v>Edge Cases</x:v>
      </x:c>
    </x:row>
    <x:row r="3" ht="24" customHeight="1">
      <x:c r="A3" s="61" t="str">
        <x:v>Candidates intentionally held out, excluded, or separated from the main non-human biological-sample manifest.</x:v>
      </x:c>
      <x:c r="B3" s="61"/>
      <x:c r="C3" s="61"/>
      <x:c r="D3" s="61"/>
      <x:c r="E3" s="61"/>
      <x:c r="F3" s="61"/>
    </x:row>
    <x:row r="4">
      <x:c r="A4" s="62"/>
      <x:c r="B4" s="62"/>
      <x:c r="C4" s="62"/>
      <x:c r="D4" s="62"/>
      <x:c r="E4" s="62"/>
      <x:c r="F4" s="62"/>
    </x:row>
    <x:row r="5">
      <x:c r="A5" s="88" t="str">
        <x:v>candidate_or_exclusion</x:v>
      </x:c>
      <x:c r="B5" s="88" t="str">
        <x:v>organism_or_context</x:v>
      </x:c>
      <x:c r="C5" s="88" t="str">
        <x:v>status</x:v>
      </x:c>
      <x:c r="D5" s="88" t="str">
        <x:v>reason</x:v>
      </x:c>
      <x:c r="E5" s="88" t="str">
        <x:v>next_validation_step</x:v>
      </x:c>
      <x:c r="F5" s="88" t="str">
        <x:v>source_url</x:v>
      </x:c>
    </x:row>
    <x:row r="6" ht="46.5" customHeight="1">
      <x:c r="A6" s="95" t="str">
        <x:v>Horse/dog ChRO-seq studies</x:v>
      </x:c>
      <x:c r="B6" s="95" t="str">
        <x:v>equine/canine tissues</x:v>
      </x:c>
      <x:c r="C6" s="98" t="str">
        <x:v>exclude</x:v>
      </x:c>
      <x:c r="D6" s="95" t="str">
        <x:v>ChRO-seq without cap enrichment is outside the requested assay family.</x:v>
      </x:c>
      <x:c r="E6" s="95" t="str">
        <x:v>Add only if generic ChRO-seq is later included.</x:v>
      </x:c>
      <x:c r="F6" s="96"/>
    </x:row>
    <x:row r="7" ht="46.5" customHeight="1">
      <x:c r="A7" s="95" t="str">
        <x:v>HCMV PRO-cap in human host cells</x:v>
      </x:c>
      <x:c r="B7" s="95" t="str">
        <x:v>viral genome; human sample</x:v>
      </x:c>
      <x:c r="C7" s="98" t="str">
        <x:v>exclude from main manifest</x:v>
      </x:c>
      <x:c r="D7" s="95" t="str">
        <x:v>The assayed biological sample is human, even though reads map to a non-human viral genome.</x:v>
      </x:c>
      <x:c r="E7" s="95" t="str">
        <x:v>Maintain as a separate host–pathogen benchmark if desired.</x:v>
      </x:c>
      <x:c r="F7" s="96" t="str">
        <x:v>https://www.ncbi.nlm.nih.gov/geo/query/acc.cgi?acc=GSE113394</x:v>
      </x:c>
    </x:row>
    <x:row r="8" ht="46.5" customHeight="1">
      <x:c r="A8" s="95" t="str">
        <x:v>HSV-1 PRO-cap in human host cells</x:v>
      </x:c>
      <x:c r="B8" s="95" t="str">
        <x:v>viral genome; human sample</x:v>
      </x:c>
      <x:c r="C8" s="98" t="str">
        <x:v>exclude from main manifest</x:v>
      </x:c>
      <x:c r="D8" s="95" t="str">
        <x:v>The assayed biological sample is human, even though reads map to a non-human viral genome.</x:v>
      </x:c>
      <x:c r="E8" s="95" t="str">
        <x:v>Maintain as a separate host–pathogen benchmark if desired.</x:v>
      </x:c>
      <x:c r="F8" s="96" t="str">
        <x:v>https://www.ncbi.nlm.nih.gov/geo/query/acc.cgi?acc=GSE235226</x:v>
      </x:c>
    </x:row>
    <x:row r="9" ht="46.5" customHeight="1">
      <x:c r="A9" s="95" t="str">
        <x:v>Generic PRO-seq/GRO-seq/NET-seq</x:v>
      </x:c>
      <x:c r="B9" s="95" t="str">
        <x:v>multiple organisms</x:v>
      </x:c>
      <x:c r="C9" s="98" t="str">
        <x:v>exclude</x:v>
      </x:c>
      <x:c r="D9" s="95" t="str">
        <x:v>No cap-selection step; signal includes elongating polymerase and is not a like-for-like TSS target.</x:v>
      </x:c>
      <x:c r="E9" s="95" t="str">
        <x:v>Use as auxiliary task/input rather than target labels.</x:v>
      </x:c>
      <x:c r="F9" s="96"/>
    </x:row>
    <x:row r="10" ht="46.5" customHeight="1">
      <x:c r="A10" s="95" t="str">
        <x:v>Spike-in species</x:v>
      </x:c>
      <x:c r="B10" s="95" t="str">
        <x:v>fly, mouse, fission yeast, budding yeast</x:v>
      </x:c>
      <x:c r="C10" s="100" t="str">
        <x:v>not a biological sample</x:v>
      </x:c>
      <x:c r="D10" s="95" t="str">
        <x:v>Spike-ins support normalization/QC and must not inflate the sample census or become target labels.</x:v>
      </x:c>
      <x:c r="E10" s="95" t="str">
        <x:v>Split by genome and record mapping fraction during preprocessing.</x:v>
      </x:c>
      <x:c r="F10" s="96"/>
    </x:row>
    <x:row r="11" ht="66" customHeight="1">
      <x:c r="A11" s="89"/>
      <x:c r="B11" s="89"/>
      <x:c r="C11" s="89"/>
      <x:c r="D11" s="89"/>
      <x:c r="E11" s="89"/>
      <x:c r="F11" s="90"/>
    </x:row>
    <x:row r="12" ht="66" customHeight="1">
      <x:c r="A12" s="89"/>
      <x:c r="B12" s="89"/>
      <x:c r="C12" s="89"/>
      <x:c r="D12" s="89"/>
      <x:c r="E12" s="89"/>
      <x:c r="F12" s="90"/>
    </x:row>
  </x:sheetData>
  <x:mergeCells>
    <x:mergeCell ref="A1:F2"/>
    <x:mergeCell ref="A3:F3"/>
  </x:mergeCells>
  <x:conditionalFormatting sqref="C6:C12">
    <x:cfRule type="containsText" dxfId="6" priority="1" operator="containsText" text="exclude"/>
    <x:cfRule type="containsText" dxfId="7" priority="2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b144a7157c9546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68" hidden="0" customWidth="1"/>
  </x:cols>
  <x:sheetData>
    <x:row r="1" ht="24" customHeight="1">
      <x:c r="A1" s="60" t="str">
        <x:v>Field Guide</x:v>
      </x:c>
      <x:c r="B1" s="60" t="str">
        <x:v>Field Guide</x:v>
      </x:c>
      <x:c r="C1" s="60" t="str">
        <x:v>Field Guide</x:v>
      </x:c>
    </x:row>
    <x:row r="2" ht="24" customHeight="1">
      <x:c r="A2" s="60" t="str">
        <x:v>Field Guide</x:v>
      </x:c>
      <x:c r="B2" s="60" t="str">
        <x:v>Field Guide</x:v>
      </x:c>
      <x:c r="C2" s="60" t="str">
        <x:v>Field Guide</x:v>
      </x:c>
    </x:row>
    <x:row r="3" ht="24" customHeight="1">
      <x:c r="A3" s="61" t="str">
        <x:v>Controlled meanings and recommended use of the manifest for TSS sequence-profile modeling.</x:v>
      </x:c>
      <x:c r="B3" s="61"/>
      <x:c r="C3" s="61"/>
    </x:row>
    <x:row r="4">
      <x:c r="A4" s="62"/>
      <x:c r="B4" s="62"/>
      <x:c r="C4" s="62"/>
    </x:row>
    <x:row r="5">
      <x:c r="A5" s="88" t="str">
        <x:v>field_or_rule</x:v>
      </x:c>
      <x:c r="B5" s="88" t="str">
        <x:v>definition</x:v>
      </x:c>
      <x:c r="C5" s="88" t="str">
        <x:v>recommended_action</x:v>
      </x:c>
    </x:row>
    <x:row r="6" ht="56" customHeight="1">
      <x:c r="A6" s="89" t="str">
        <x:v>default_include = include</x:v>
      </x:c>
      <x:c r="B6" s="89" t="str">
        <x:v>Best-supported target/control baseline for the requested assay family.</x:v>
      </x:c>
      <x:c r="C6" s="89" t="str">
        <x:v>Start here, subject to archive-run resolution and normal QC.</x:v>
      </x:c>
    </x:row>
    <x:row r="7" ht="56" customHeight="1">
      <x:c r="A7" s="89" t="str">
        <x:v>default_include = conditional</x:v>
      </x:c>
      <x:c r="B7" s="89" t="str">
        <x:v>Biologically valuable but affected by perturbation, protocol equivalence, limited replication, unpublished status, or unresolved archive mapping.</x:v>
      </x:c>
      <x:c r="C7" s="89" t="str">
        <x:v>Include with an explicit assay/condition covariate or as a separate model head.</x:v>
      </x:c>
    </x:row>
    <x:row r="8" ht="56" customHeight="1">
      <x:c r="A8" s="89" t="str">
        <x:v>default_include = exclude</x:v>
      </x:c>
      <x:c r="B8" s="89" t="str">
        <x:v>Negative-enzyme/background control or outside the requested assay scope.</x:v>
      </x:c>
      <x:c r="C8" s="89" t="str">
        <x:v>Retain for QC/background estimation; do not use as positive TSS targets.</x:v>
      </x:c>
    </x:row>
    <x:row r="9" ht="56" customHeight="1">
      <x:c r="A9" s="89" t="str">
        <x:v>target_use</x:v>
      </x:c>
      <x:c r="B9" s="89" t="str">
        <x:v>Whether a row is a cap-positive target or a negative protocol control.</x:v>
      </x:c>
      <x:c r="C9" s="89" t="str">
        <x:v>Train positive profiles only from target rows; use controls to diagnose background.</x:v>
      </x:c>
    </x:row>
    <x:row r="10" ht="56" customHeight="1">
      <x:c r="A10" s="89" t="str">
        <x:v>cap_status = TAP−</x:v>
      </x:c>
      <x:c r="B10" s="89" t="str">
        <x:v>Library omitted tobacco acid pyrophosphatase or analogous cap-dependent conversion.</x:v>
      </x:c>
      <x:c r="C10" s="89" t="str">
        <x:v>Treat as protocol-negative control, not a transcription-start target.</x:v>
      </x:c>
    </x:row>
    <x:row r="11" ht="56" customHeight="1">
      <x:c r="A11" s="89" t="str">
        <x:v>assay_family</x:v>
      </x:c>
      <x:c r="B11" s="89" t="str">
        <x:v>Canonical PRO-cap/ChRO-cap/GRO-cap or a protocol-validated 5′GRO/CoPRO equivalent.</x:v>
      </x:c>
      <x:c r="C11" s="89" t="str">
        <x:v>Use as a batch covariate; consider separate output heads for protocol families.</x:v>
      </x:c>
    </x:row>
    <x:row r="12" ht="56" customHeight="1">
      <x:c r="A12" s="89" t="str">
        <x:v>archive_mapping_status</x:v>
      </x:c>
      <x:c r="B12" s="89" t="str">
        <x:v>Confidence level for sample → experiment → run mapping.</x:v>
      </x:c>
      <x:c r="C12" s="89" t="str">
        <x:v>Never infer missing SRR/ERR IDs from accession adjacency. Resolve with ENA/NCBI before download.</x:v>
      </x:c>
    </x:row>
    <x:row r="13" ht="56" customHeight="1">
      <x:c r="A13" s="89" t="str">
        <x:v>raw_fastq_url</x:v>
      </x:c>
      <x:c r="B13" s="89" t="str">
        <x:v>Direct ENA URL is present only where a run accession was independently resolved.</x:v>
      </x:c>
      <x:c r="C13" s="89" t="str">
        <x:v>Check URL availability and MD5 before pipeline ingestion.</x:v>
      </x:c>
    </x:row>
    <x:row r="14" ht="56" customHeight="1">
      <x:c r="A14" s="89" t="str">
        <x:v>archive_fastq_lookup_url</x:v>
      </x:c>
      <x:c r="B14" s="89" t="str">
        <x:v>Experiment/run query endpoint for rows without a direct FASTQ link.</x:v>
      </x:c>
      <x:c r="C14" s="89" t="str">
        <x:v>Open/query this endpoint to obtain run accession, layout, FASTQ path, and MD5.</x:v>
      </x:c>
    </x:row>
    <x:row r="15" ht="56" customHeight="1">
      <x:c r="A15" s="89" t="str">
        <x:v>assembly policy</x:v>
      </x:c>
      <x:c r="B15" s="89" t="str">
        <x:v>Deposited processed tracks span mm9/mm10, dm3/dm6, WS230, sacCer3, and TAIR10.</x:v>
      </x:c>
      <x:c r="C15" s="89" t="str">
        <x:v>Prefer uniform raw-read reprocessing to mm39, dm6, ce11/WBcel235, sacCer3, or TAIR10 as listed.</x:v>
      </x:c>
    </x:row>
    <x:row r="16" ht="56" customHeight="1">
      <x:c r="A16" s="89" t="str">
        <x:v>strand/orientation QC</x:v>
      </x:c>
      <x:c r="B16" s="89" t="str">
        <x:v>PRO-cap-like assays are directional, but R1/R2 conventions vary.</x:v>
      </x:c>
      <x:c r="C16" s="89" t="str">
        <x:v>Validate strand orientation at known unidirectional promoters before generating profiles.</x:v>
      </x:c>
    </x:row>
    <x:row r="17" ht="56" customHeight="1">
      <x:c r="A17" s="89" t="str">
        <x:v>spike_in</x:v>
      </x:c>
      <x:c r="B17" s="89" t="str">
        <x:v>Exogenous organism/material added for normalization.</x:v>
      </x:c>
      <x:c r="C17" s="89" t="str">
        <x:v>Map jointly or sequentially, record spike-in fraction, and exclude spike-in reads from target labels.</x:v>
      </x:c>
    </x:row>
    <x:row r="18" ht="56" customHeight="1">
      <x:c r="A18" s="89" t="str">
        <x:v>replicate_group</x:v>
      </x:c>
      <x:c r="B18" s="89" t="str">
        <x:v>Rows intended to be compared/pooled as biological replicates.</x:v>
      </x:c>
      <x:c r="C18" s="89" t="str">
        <x:v>Assess replicate concordance before pooling; do not combine distinct conditions as replicates.</x:v>
      </x:c>
    </x:row>
    <x:row r="19" ht="56" customHeight="1">
      <x:c r="A19" s="89" t="str">
        <x:v>C. elegans caveat</x:v>
      </x:c>
      <x:c r="B19" s="89" t="str">
        <x:v>Many mature transcripts receive trans-spliced leaders, separating RNA 5′ ends from true initiation sites.</x:v>
      </x:c>
      <x:c r="C19" s="89" t="str">
        <x:v>Prefer nascent cap maps for TSS labels and avoid validating solely against mature-RNA annotations.</x:v>
      </x:c>
    </x:row>
    <x:row r="20" ht="56" customHeight="1">
      <x:c r="A20" s="89" t="str">
        <x:v>processed tracks</x:v>
      </x:c>
      <x:c r="B20" s="89" t="str">
        <x:v>Convenient for inspection but derived with heterogeneous pipelines and old assemblies.</x:v>
      </x:c>
      <x:c r="C20" s="89" t="str">
        <x:v>Use raw reads for a unified modeling benchmark whenever possible.</x:v>
      </x:c>
    </x:row>
    <x:row r="21" ht="54" customHeight="1">
      <x:c r="A21" s="92" t="str">
        <x:v>true cap-enriched run-on inclusion</x:v>
      </x:c>
      <x:c r="B21" s="92" t="str">
        <x:v>Nascent nuclear run-on plus biochemical enrichment or conversion of capped RNA, documented by the protocol or sample metadata.</x:v>
      </x:c>
      <x:c r="C21" s="92" t="str">
        <x:v>Accept PRO-cap/GRO-cap/ChRO-cap and validated 5′GRO/CoPRO variants; record the cap-selection evidence.</x:v>
      </x:c>
    </x:row>
    <x:row r="22" ht="54" customHeight="1">
      <x:c r="A22" s="92" t="str">
        <x:v>5′-end track ≠ cap enrichment</x:v>
      </x:c>
      <x:c r="B22" s="92" t="str">
        <x:v>A 5′ read-end signal, 5p bigWig, or TSS-oriented track can be produced from ordinary GRO/PRO/ChRO data without cap selection.</x:v>
      </x:c>
      <x:c r="C22" s="92" t="str">
        <x:v>Do not classify from coordinate convention, track name, or filename; verify biochemical cap selection.</x:v>
      </x:c>
    </x:row>
    <x:row r="23" ht="54" customHeight="1">
      <x:c r="A23" s="92" t="str">
        <x:v>matched input/control</x:v>
      </x:c>
      <x:c r="B23" s="92" t="str">
        <x:v>Ordinary GRO, TAP−/noTAP, uncapped, or capped-and-uncapped fractions are controls rather than positive cap-enriched libraries.</x:v>
      </x:c>
      <x:c r="C23" s="92" t="str">
        <x:v>Keep as controls or outside the target census; never train them as positive TSS labels.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4d2ff4d23f6247ad"/>
  </x:tableParts>
</x:worksheet>
</file>